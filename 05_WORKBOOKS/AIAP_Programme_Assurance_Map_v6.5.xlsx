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29134cceb4e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me Map" sheetId="1" r:id="Ra7c2be6ee3944ef7"/>
    <x:sheet xmlns:r="http://schemas.openxmlformats.org/officeDocument/2006/relationships" name="Assurance Composition" sheetId="2" r:id="Rc42f23ed38c44e4e"/>
    <x:sheet xmlns:r="http://schemas.openxmlformats.org/officeDocument/2006/relationships" name="Definitions" sheetId="3" r:id="R79d0c76224bd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color rgb="FF7F6000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23"/>
  </x:cellStyleXfs>
  <x:cellXfs count="14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2" fillId="2" borderId="0" xfId="0"/>
    <x:xf numFmtId="0" fontId="2" fillId="2" borderId="2" xfId="0"/>
    <x:xf numFmtId="0" fontId="2" fillId="2" borderId="3" xfId="0"/>
    <x:xf numFmtId="0" fontId="2" fillId="2" borderId="4" xfId="0"/>
    <x:xf numFmtId="0" fontId="2" fillId="2" borderId="2" xfId="0" applyAlignment="1">
      <x:alignment wrapText="1"/>
    </x:xf>
    <x:xf numFmtId="0" fontId="2" fillId="2" borderId="3" xfId="0" applyAlignment="1">
      <x:alignment wrapText="1"/>
    </x:xf>
    <x:xf numFmtId="0" fontId="2" fillId="2" borderId="4" xfId="0" applyAlignment="1">
      <x:alignment wrapText="1"/>
    </x:xf>
    <x:xf numFmtId="0" fontId="2" fillId="2" borderId="2" xfId="0" applyAlignment="1">
      <x:alignment horizontal="center" wrapText="1"/>
    </x:xf>
    <x:xf numFmtId="0" fontId="2" fillId="2" borderId="3" xfId="0" applyAlignment="1">
      <x:alignment horizontal="center" wrapText="1"/>
    </x:xf>
    <x:xf numFmtId="0" fontId="2" fillId="2" borderId="4" xfId="0" applyAlignment="1">
      <x:alignment horizontal="center" wrapText="1"/>
    </x:xf>
    <x:xf numFmtId="0" fontId="2" fillId="2" borderId="2" xfId="0" applyAlignment="1">
      <x:alignment horizontal="center" vertical="center" wrapText="1"/>
    </x:xf>
    <x:xf numFmtId="0" fontId="2" fillId="2" borderId="3" xfId="0" applyAlignment="1">
      <x:alignment horizontal="center" vertical="center" wrapText="1"/>
    </x:xf>
    <x:xf numFmtId="0" fontId="2" fillId="2" borderId="4" xfId="0" applyAlignment="1">
      <x:alignment horizontal="center" vertical="center" wrapText="1"/>
    </x:xf>
    <x:xf numFmtId="0" fontId="2" fillId="2" borderId="1" xfId="0"/>
    <x:xf numFmtId="0" fontId="2" fillId="2" borderId="5" xfId="0"/>
    <x:xf numFmtId="0" fontId="2" fillId="2" borderId="6" xfId="0"/>
    <x:xf numFmtId="0" fontId="2" fillId="2" borderId="7" xfId="0"/>
    <x:xf numFmtId="0" fontId="2" fillId="2" borderId="5" xfId="0" applyAlignment="1">
      <x:alignment wrapText="1"/>
    </x:xf>
    <x:xf numFmtId="0" fontId="2" fillId="2" borderId="6" xfId="0" applyAlignment="1">
      <x:alignment wrapText="1"/>
    </x:xf>
    <x:xf numFmtId="0" fontId="2" fillId="2" borderId="7" xfId="0" applyAlignment="1">
      <x:alignment wrapText="1"/>
    </x:xf>
    <x:xf numFmtId="0" fontId="2" fillId="2" borderId="5" xfId="0" applyAlignment="1">
      <x:alignment horizontal="center" wrapText="1"/>
    </x:xf>
    <x:xf numFmtId="0" fontId="2" fillId="2" borderId="6" xfId="0" applyAlignment="1">
      <x:alignment horizontal="center" wrapText="1"/>
    </x:xf>
    <x:xf numFmtId="0" fontId="2" fillId="2" borderId="7" xfId="0" applyAlignment="1">
      <x:alignment horizontal="center" wrapText="1"/>
    </x:xf>
    <x:xf numFmtId="0" fontId="2" fillId="2" borderId="5" xfId="0" applyAlignment="1">
      <x:alignment horizontal="center" vertical="center" wrapText="1"/>
    </x:xf>
    <x:xf numFmtId="0" fontId="2" fillId="2" borderId="6" xfId="0" applyAlignment="1">
      <x:alignment horizontal="center" vertical="center" wrapText="1"/>
    </x:xf>
    <x:xf numFmtId="0" fontId="2" fillId="2" borderId="7" xfId="0" applyAlignment="1">
      <x:alignment horizontal="center" vertical="center" wrapText="1"/>
    </x:xf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0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0" xfId="0" applyAlignment="1">
      <x:alignment wrapText="1"/>
    </x:xf>
    <x:xf numFmtId="0" fontId="0" fillId="0" borderId="12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8" xfId="0" applyAlignment="1">
      <x:alignment vertical="top" wrapText="1"/>
    </x:xf>
    <x:xf numFmtId="0" fontId="0" fillId="0" borderId="9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0" borderId="1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2" xfId="0" applyAlignment="1">
      <x:alignment vertical="top" wrapText="1"/>
    </x:xf>
    <x:xf numFmtId="0" fontId="0" fillId="0" borderId="13" xfId="0" applyAlignment="1">
      <x:alignment vertical="top" wrapText="1"/>
    </x:xf>
    <x:xf numFmtId="0" fontId="0" fillId="0" borderId="14" xfId="0" applyAlignment="1">
      <x:alignment vertical="top" wrapText="1"/>
    </x:xf>
    <x:xf numFmtId="0" fontId="0" fillId="0" borderId="15" xfId="0" applyAlignment="1">
      <x:alignment vertical="top" wrapText="1"/>
    </x:xf>
    <x:xf numFmtId="0" fontId="0" fillId="0" borderId="16" xfId="0"/>
    <x:xf numFmtId="0" fontId="0" fillId="0" borderId="17" xfId="0"/>
    <x:xf numFmtId="0" fontId="0" fillId="0" borderId="18" xfId="0"/>
    <x:xf numFmtId="0" fontId="0" fillId="0" borderId="19" xfId="0"/>
    <x:xf numFmtId="0" fontId="0" fillId="0" borderId="20" xfId="0"/>
    <x:xf numFmtId="0" fontId="0" fillId="0" borderId="21" xfId="0"/>
    <x:xf numFmtId="0" fontId="0" fillId="0" borderId="22" xfId="0"/>
    <x:xf numFmtId="0" fontId="0" fillId="0" borderId="23" xfId="0"/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8" xfId="0" applyAlignment="1">
      <x:alignment wrapText="1"/>
    </x:xf>
    <x:xf numFmtId="0" fontId="0" fillId="0" borderId="19" xfId="0" applyAlignment="1">
      <x:alignment wrapText="1"/>
    </x:xf>
    <x:xf numFmtId="0" fontId="0" fillId="0" borderId="1" xfId="0" applyAlignment="1">
      <x:alignment wrapText="1"/>
    </x:xf>
    <x:xf numFmtId="0" fontId="0" fillId="0" borderId="20" xfId="0" applyAlignment="1">
      <x:alignment wrapText="1"/>
    </x:xf>
    <x:xf numFmtId="0" fontId="0" fillId="0" borderId="21" xfId="0" applyAlignment="1">
      <x:alignment wrapText="1"/>
    </x:xf>
    <x:xf numFmtId="0" fontId="0" fillId="0" borderId="22" xfId="0" applyAlignment="1">
      <x:alignment wrapText="1"/>
    </x:xf>
    <x:xf numFmtId="0" fontId="0" fillId="0" borderId="23" xfId="0" applyAlignment="1">
      <x:alignment wrapText="1"/>
    </x:xf>
    <x:xf numFmtId="0" fontId="0" fillId="0" borderId="16" xfId="0" applyAlignment="1">
      <x:alignment vertical="top" wrapText="1"/>
    </x:xf>
    <x:xf numFmtId="0" fontId="0" fillId="0" borderId="17" xfId="0" applyAlignment="1">
      <x:alignment vertical="top" wrapText="1"/>
    </x:xf>
    <x:xf numFmtId="0" fontId="0" fillId="0" borderId="18" xfId="0" applyAlignment="1">
      <x:alignment vertical="top" wrapText="1"/>
    </x:xf>
    <x:xf numFmtId="0" fontId="0" fillId="0" borderId="19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1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0" borderId="23" xfId="0" applyAlignment="1">
      <x:alignment vertical="top" wrapText="1"/>
    </x:xf>
    <x:xf numFmtId="2" fontId="0" fillId="0" borderId="9" xfId="0" applyAlignment="1">
      <x:alignment vertical="top" wrapText="1"/>
    </x:xf>
    <x:xf numFmtId="2" fontId="0" fillId="0" borderId="0" xfId="0" applyAlignment="1">
      <x:alignment vertical="top" wrapText="1"/>
    </x:xf>
    <x:xf numFmtId="2" fontId="0" fillId="0" borderId="14" xfId="0" applyAlignment="1">
      <x:alignment vertical="top" wrapText="1"/>
    </x:xf>
    <x:xf numFmtId="2" fontId="0" fillId="0" borderId="17" xfId="0" applyAlignment="1">
      <x:alignment vertical="top" wrapText="1"/>
    </x:xf>
    <x:xf numFmtId="2" fontId="0" fillId="0" borderId="1" xfId="0" applyAlignment="1">
      <x:alignment vertical="top" wrapText="1"/>
    </x:xf>
    <x:xf numFmtId="2" fontId="0" fillId="0" borderId="22" xfId="0" applyAlignment="1">
      <x:alignment vertical="top" wrapText="1"/>
    </x:xf>
    <x:xf numFmtId="164" fontId="0" fillId="0" borderId="10" xfId="0" applyAlignment="1">
      <x:alignment vertical="top" wrapText="1"/>
    </x:xf>
    <x:xf numFmtId="164" fontId="0" fillId="0" borderId="12" xfId="0" applyAlignment="1">
      <x:alignment vertical="top" wrapText="1"/>
    </x:xf>
    <x:xf numFmtId="164" fontId="0" fillId="0" borderId="15" xfId="0" applyAlignment="1">
      <x:alignment vertical="top" wrapText="1"/>
    </x:xf>
    <x:xf numFmtId="164" fontId="0" fillId="0" borderId="18" xfId="0" applyAlignment="1">
      <x:alignment vertical="top" wrapText="1"/>
    </x:xf>
    <x:xf numFmtId="164" fontId="0" fillId="0" borderId="20" xfId="0" applyAlignment="1">
      <x:alignment vertical="top" wrapText="1"/>
    </x:xf>
    <x:xf numFmtId="164" fontId="0" fillId="0" borderId="23" xfId="0" applyAlignment="1">
      <x:alignment vertical="top" wrapText="1"/>
    </x:xf>
    <x:xf numFmtId="0" fontId="0" fillId="3" borderId="13" xfId="0" applyAlignment="1">
      <x:alignment vertical="top" wrapText="1"/>
    </x:xf>
    <x:xf numFmtId="0" fontId="0" fillId="3" borderId="14" xfId="0" applyAlignment="1">
      <x:alignment vertical="top" wrapText="1"/>
    </x:xf>
    <x:xf numFmtId="0" fontId="0" fillId="3" borderId="15" xfId="0" applyAlignment="1">
      <x:alignment vertical="top" wrapText="1"/>
    </x:xf>
    <x:xf numFmtId="0" fontId="0" fillId="3" borderId="21" xfId="0" applyAlignment="1">
      <x:alignment vertical="top" wrapText="1"/>
    </x:xf>
    <x:xf numFmtId="0" fontId="0" fillId="3" borderId="22" xfId="0" applyAlignment="1">
      <x:alignment vertical="top" wrapText="1"/>
    </x:xf>
    <x:xf numFmtId="0" fontId="0" fillId="3" borderId="23" xfId="0" applyAlignment="1">
      <x:alignment vertical="top" wrapText="1"/>
    </x:xf>
    <x:xf numFmtId="0" fontId="3" fillId="3" borderId="13" xfId="0" applyAlignment="1">
      <x:alignment vertical="top" wrapText="1"/>
    </x:xf>
    <x:xf numFmtId="0" fontId="3" fillId="3" borderId="14" xfId="0" applyAlignment="1">
      <x:alignment vertical="top" wrapText="1"/>
    </x:xf>
    <x:xf numFmtId="0" fontId="3" fillId="3" borderId="15" xfId="0" applyAlignment="1">
      <x:alignment vertical="top" wrapText="1"/>
    </x:xf>
    <x:xf numFmtId="0" fontId="3" fillId="3" borderId="21" xfId="0" applyAlignment="1">
      <x:alignment vertical="top" wrapText="1"/>
    </x:xf>
    <x:xf numFmtId="0" fontId="3" fillId="3" borderId="22" xfId="0" applyAlignment="1">
      <x:alignment vertical="top" wrapText="1"/>
    </x:xf>
    <x:xf numFmtId="0" fontId="3" fillId="3" borderId="23" xfId="0" applyAlignment="1">
      <x:alignment vertical="top" wrapText="1"/>
    </x:xf>
    <x:xf numFmtId="2" fontId="3" fillId="3" borderId="14" xfId="0" applyAlignment="1">
      <x:alignment vertical="top" wrapText="1"/>
    </x:xf>
    <x:xf numFmtId="2" fontId="3" fillId="3" borderId="22" xfId="0" applyAlignment="1">
      <x:alignment vertical="top" wrapText="1"/>
    </x:xf>
    <x:xf numFmtId="165" fontId="0" fillId="0" borderId="9" xfId="0" applyAlignment="1">
      <x:alignment vertical="top" wrapText="1"/>
    </x:xf>
    <x:xf numFmtId="165" fontId="0" fillId="0" borderId="0" xfId="0" applyAlignment="1">
      <x:alignment vertical="top" wrapText="1"/>
    </x:xf>
    <x:xf numFmtId="165" fontId="3" fillId="3" borderId="14" xfId="0" applyAlignment="1">
      <x:alignment vertical="top" wrapText="1"/>
    </x:xf>
    <x:xf numFmtId="165" fontId="0" fillId="0" borderId="17" xfId="0" applyAlignment="1">
      <x:alignment vertical="top" wrapText="1"/>
    </x:xf>
    <x:xf numFmtId="165" fontId="0" fillId="0" borderId="1" xfId="0" applyAlignment="1">
      <x:alignment vertical="top" wrapText="1"/>
    </x:xf>
    <x:xf numFmtId="165" fontId="3" fillId="3" borderId="22" xfId="0" applyAlignment="1">
      <x:alignment vertical="top" wrapText="1"/>
    </x:xf>
    <x:xf numFmtId="0" fontId="2" fillId="2" borderId="0" xfId="0" applyAlignment="1">
      <x:alignment wrapText="1"/>
    </x:xf>
    <x:xf numFmtId="0" fontId="2" fillId="2" borderId="0" xfId="0" applyAlignment="1">
      <x:alignment horizontal="center" wrapText="1"/>
    </x:xf>
    <x:xf numFmtId="0" fontId="2" fillId="2" borderId="0" xfId="0" applyAlignment="1">
      <x:alignment horizontal="center" vertical="center" wrapText="1"/>
    </x:xf>
    <x:xf numFmtId="164" fontId="0" fillId="0" borderId="0" xfId="0" applyAlignment="1">
      <x:alignment vertical="top" wrapText="1"/>
    </x:xf>
    <x:xf numFmtId="0" fontId="0" fillId="3" borderId="0" xfId="0" applyAlignment="1">
      <x:alignment vertical="top" wrapText="1"/>
    </x:xf>
    <x:xf numFmtId="0" fontId="3" fillId="3" borderId="0" xfId="0" applyAlignment="1">
      <x:alignment vertical="top" wrapText="1"/>
    </x:xf>
    <x:xf numFmtId="2" fontId="3" fillId="3" borderId="0" xfId="0" applyAlignment="1">
      <x:alignment vertical="top" wrapText="1"/>
    </x:xf>
    <x:xf numFmtId="165" fontId="3" fillId="3" borderId="0" xfId="0" applyAlignment="1">
      <x:alignment vertical="top" wrapText="1"/>
    </x:xf>
    <x:xf numFmtId="0" fontId="1" fillId="2" borderId="23" xfId="0" applyAlignment="1">
      <x:alignment horizontal="left" vertical="center"/>
    </x:xf>
    <x:xf numFmtId="0" fontId="4" fillId="4" borderId="23" xfId="0" applyAlignment="1">
      <x:alignment vertical="center" wrapText="1"/>
    </x:xf>
    <x:xf numFmtId="2" fontId="0" fillId="0" borderId="9" xfId="0" applyAlignment="1">
      <x:alignment vertical="top" wrapText="1"/>
    </x:xf>
    <x:xf numFmtId="164" fontId="0" fillId="0" borderId="10" xfId="0" applyAlignment="1">
      <x:alignment vertical="top" wrapText="1"/>
    </x:xf>
    <x:xf numFmtId="2" fontId="0" fillId="0" borderId="0" xfId="0" applyAlignment="1">
      <x:alignment vertical="top" wrapText="1"/>
    </x:xf>
    <x:xf numFmtId="164" fontId="0" fillId="0" borderId="12" xfId="0" applyAlignment="1">
      <x:alignment vertical="top" wrapText="1"/>
    </x:xf>
    <x:xf numFmtId="2" fontId="0" fillId="0" borderId="14" xfId="0" applyAlignment="1">
      <x:alignment vertical="top" wrapText="1"/>
    </x:xf>
    <x:xf numFmtId="164" fontId="0" fillId="0" borderId="15" xfId="0" applyAlignment="1">
      <x:alignment vertical="top" wrapText="1"/>
    </x:xf>
    <x:xf numFmtId="165" fontId="0" fillId="0" borderId="9" xfId="0" applyAlignment="1">
      <x:alignment vertical="top" wrapText="1"/>
    </x:xf>
    <x:xf numFmtId="165" fontId="0" fillId="0" borderId="0" xfId="0" applyAlignment="1">
      <x:alignment vertical="top" wrapText="1"/>
    </x:xf>
    <x:xf numFmtId="2" fontId="3" fillId="3" borderId="14" xfId="0" applyAlignment="1">
      <x:alignment vertical="top" wrapText="1"/>
    </x:xf>
    <x:xf numFmtId="165" fontId="3" fillId="3" borderId="14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15fbc0aca418b" /><Relationship Type="http://schemas.openxmlformats.org/officeDocument/2006/relationships/theme" Target="/xl/theme/theme1.xml" Id="R354b03cf475e457b" /><Relationship Type="http://schemas.openxmlformats.org/officeDocument/2006/relationships/sharedStrings" Target="/xl/sharedStrings.xml" Id="R1111d364c0264924" /><Relationship Type="http://schemas.openxmlformats.org/officeDocument/2006/relationships/worksheet" Target="/xl/worksheets/sheet1.xml" Id="Ra7c2be6ee3944ef7" /><Relationship Type="http://schemas.openxmlformats.org/officeDocument/2006/relationships/worksheet" Target="/xl/worksheets/sheet2.xml" Id="Rc42f23ed38c44e4e" /><Relationship Type="http://schemas.openxmlformats.org/officeDocument/2006/relationships/worksheet" Target="/xl/worksheets/sheet3.xml" Id="R79d0c76224bd4b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816bddda0044c2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Mapped Assurance Composition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spPr>
            <a:ln xmlns:a="http://schemas.openxmlformats.org/drawingml/2006/main">
              <a:prstDash val="solid"/>
            </a:ln>
          </c:spPr>
          <c:cat>
            <c:strRef>
              <c:f>'Assurance Composition'!$A$4:$A$7</c:f>
              <c:strCache>
                <c:ptCount val="0"/>
              </c:strCache>
            </c:strRef>
          </c:cat>
          <c:val>
            <c:numRef>
              <c:f>'Assurance Composition'!$B$4:$B$7</c:f>
              <c:numCache>
                <c:formatCode>0.00</c:formatCode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816bddda0044c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b8fe24efa2e440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2" style="40" customWidth="1"/>
    <x:col min="2" max="2" width="28" style="40" customWidth="1"/>
    <x:col min="3" max="3" width="15" style="40" customWidth="1"/>
    <x:col min="4" max="4" width="15" style="40" customWidth="1"/>
    <x:col min="5" max="5" width="13" style="40" customWidth="1"/>
    <x:col min="6" max="6" width="19" style="40" customWidth="1"/>
    <x:col min="7" max="7" width="31" style="40" customWidth="1"/>
    <x:col min="8" max="8" width="40" style="40" customWidth="1"/>
    <x:col min="9" max="9" width="30" style="40" customWidth="1"/>
    <x:col min="10" max="10" width="27" style="40" customWidth="1"/>
    <x:col min="11" max="11" width="29" style="40" customWidth="1"/>
    <x:col min="12" max="12" width="48" style="40" customWidth="1"/>
    <x:col min="13" max="13" width="22" style="40" customWidth="1"/>
    <x:col min="14" max="14" width="16" style="40" customWidth="1"/>
  </x:cols>
  <x:sheetData>
    <x:row r="1" s="40" customFormat="1" ht="28" customHeight="1">
      <x:c r="A1" s="129" t="inlineStr">
        <x:is>
          <x:t xml:space="preserve">AIAP Programme Assurance Map v6.5</x:t>
        </x:is>
      </x:c>
      <x:c r="B1" s="70" t="n"/>
      <x:c r="C1" s="70" t="n"/>
      <x:c r="D1" s="70" t="n"/>
      <x:c r="E1" s="70" t="n"/>
      <x:c r="F1" s="70" t="n"/>
      <x:c r="G1" s="70" t="n"/>
      <x:c r="H1" s="70" t="n"/>
      <x:c r="I1" s="70" t="n"/>
      <x:c r="J1" s="70" t="n"/>
      <x:c r="K1" s="70" t="n"/>
      <x:c r="L1" s="70" t="n"/>
      <x:c r="M1" s="70" t="n"/>
      <x:c r="N1" s="70" t="n"/>
    </x:row>
    <x:row r="2" s="40" customFormat="1" ht="34" customHeight="1">
      <x:c r="A2" s="130" t="str">
        <x:v>Illustrative distribution for an AI-integrated professional programme; it is not a recommended default. Local programmes must justify their own assurance composition against claims, evidence, accreditation, rights, and public wording.</x:v>
      </x:c>
      <x:c r="B2" s="70" t="n"/>
      <x:c r="C2" s="70" t="n"/>
      <x:c r="D2" s="70" t="n"/>
      <x:c r="E2" s="70" t="n"/>
      <x:c r="F2" s="70" t="n"/>
      <x:c r="G2" s="70" t="n"/>
      <x:c r="H2" s="70" t="n"/>
      <x:c r="I2" s="70" t="n"/>
      <x:c r="J2" s="70" t="n"/>
      <x:c r="K2" s="70" t="n"/>
      <x:c r="L2" s="70" t="n"/>
      <x:c r="M2" s="70" t="n"/>
      <x:c r="N2" s="70" t="n"/>
    </x:row>
    <x:row r="3">
      <x:c r="A3" s="20" t="inlineStr">
        <x:is>
          <x:t xml:space="preserve">PLO / material claim</x:t>
        </x:is>
      </x:c>
      <x:c r="B3" s="21" t="inlineStr">
        <x:is>
          <x:t xml:space="preserve">Module / assessment</x:t>
        </x:is>
      </x:c>
      <x:c r="C3" s="21" t="inlineStr">
        <x:is>
          <x:t xml:space="preserve">Credit or decision weight</x:t>
        </x:is>
      </x:c>
      <x:c r="D3" s="21" t="inlineStr">
        <x:is>
          <x:t xml:space="preserve">Condition</x:t>
        </x:is>
      </x:c>
      <x:c r="E3" s="21" t="inlineStr">
        <x:is>
          <x:t xml:space="preserve">Lane</x:t>
        </x:is>
      </x:c>
      <x:c r="F3" s="21" t="inlineStr">
        <x:is>
          <x:t xml:space="preserve">Modality</x:t>
        </x:is>
      </x:c>
      <x:c r="G3" s="21" t="inlineStr">
        <x:is>
          <x:t xml:space="preserve">Primary assurance object / routing status</x:t>
        </x:is>
      </x:c>
      <x:c r="H3" s="21" t="inlineStr">
        <x:is>
          <x:t xml:space="preserve">Minimum individual evidence</x:t>
        </x:is>
      </x:c>
      <x:c r="I3" s="21" t="inlineStr">
        <x:is>
          <x:t xml:space="preserve">Prompt / form control</x:t>
        </x:is>
      </x:c>
      <x:c r="J3" s="21" t="inlineStr">
        <x:is>
          <x:t xml:space="preserve">Redundancy or follow-up</x:t>
        </x:is>
      </x:c>
      <x:c r="K3" s="21" t="inlineStr">
        <x:is>
          <x:t xml:space="preserve">Accessibility route</x:t>
        </x:is>
      </x:c>
      <x:c r="L3" s="21" t="inlineStr">
        <x:is>
          <x:t xml:space="preserve">Public wording</x:t>
        </x:is>
      </x:c>
      <x:c r="M3" s="21" t="inlineStr">
        <x:is>
          <x:t xml:space="preserve">Current evidence status</x:t>
        </x:is>
      </x:c>
      <x:c r="N3" s="22" t="inlineStr">
        <x:is>
          <x:t xml:space="preserve">Review / requalification date</x:t>
        </x:is>
      </x:c>
    </x:row>
    <x:row r="4">
      <x:c r="A4" s="54" t="inlineStr">
        <x:is>
          <x:t xml:space="preserve">PLO 1: Foundational knowledge</x:t>
        </x:is>
      </x:c>
      <x:c r="B4" s="55" t="inlineStr">
        <x:is>
          <x:t xml:space="preserve">Year 1 concept test</x:t>
        </x:is>
      </x:c>
      <x:c r="C4" s="131" t="n">
        <x:v>10</x:v>
      </x:c>
      <x:c r="D4" s="55" t="inlineStr">
        <x:is>
          <x:t xml:space="preserve">Controlled</x:t>
        </x:is>
      </x:c>
      <x:c r="E4" s="55" t="inlineStr">
        <x:is>
          <x:t xml:space="preserve">Lane 1</x:t>
        </x:is>
      </x:c>
      <x:c r="F4" s="55" t="inlineStr">
        <x:is>
          <x:t xml:space="preserve">In-person</x:t>
        </x:is>
      </x:c>
      <x:c r="G4" s="55" t="inlineStr">
        <x:is>
          <x:t xml:space="preserve">Independent capability</x:t>
        </x:is>
      </x:c>
      <x:c r="H4" s="55" t="inlineStr">
        <x:is>
          <x:t xml:space="preserve">Observed response under materially constrained conditions</x:t>
        </x:is>
      </x:c>
      <x:c r="I4" s="55" t="inlineStr">
        <x:is>
          <x:t xml:space="preserve">Not applicable</x:t>
        </x:is>
      </x:c>
      <x:c r="J4" s="55" t="inlineStr">
        <x:is>
          <x:t xml:space="preserve">Later checkpoint</x:t>
        </x:is>
      </x:c>
      <x:c r="K4" s="55" t="inlineStr">
        <x:is>
          <x:t xml:space="preserve">Approved accommodations</x:t>
        </x:is>
      </x:c>
      <x:c r="L4" s="55" t="inlineStr">
        <x:is>
          <x:t xml:space="preserve">Demonstrated foundational knowledge under named constrained conditions.</x:t>
        </x:is>
      </x:c>
      <x:c r="M4" s="55" t="inlineStr">
        <x:is>
          <x:t xml:space="preserve">Specified</x:t>
        </x:is>
      </x:c>
      <x:c r="N4" s="132" t="str"/>
    </x:row>
    <x:row r="5">
      <x:c r="A5" s="57" t="inlineStr">
        <x:is>
          <x:t xml:space="preserve">PLO 2: Disciplinary judgement</x:t>
        </x:is>
      </x:c>
      <x:c r="B5" s="58" t="inlineStr">
        <x:is>
          <x:t xml:space="preserve">Year 2 strategy report + authentication</x:t>
        </x:is>
      </x:c>
      <x:c r="C5" s="133" t="n">
        <x:v>20</x:v>
      </x:c>
      <x:c r="D5" s="58" t="inlineStr">
        <x:is>
          <x:t xml:space="preserve">Open</x:t>
        </x:is>
      </x:c>
      <x:c r="E5" s="58" t="inlineStr">
        <x:is>
          <x:t xml:space="preserve">Lane 2A</x:t>
        </x:is>
      </x:c>
      <x:c r="F5" s="58" t="inlineStr">
        <x:is>
          <x:t xml:space="preserve">In-person</x:t>
        </x:is>
      </x:c>
      <x:c r="G5" s="58" t="inlineStr">
        <x:is>
          <x:t xml:space="preserve">Present demonstrable competence</x:t>
        </x:is>
      </x:c>
      <x:c r="H5" s="58" t="inlineStr">
        <x:is>
          <x:t xml:space="preserve">Explain, defend, verify, adapt, transfer - named load-bearing components</x:t>
        </x:is>
      </x:c>
      <x:c r="I5" s="58" t="inlineStr">
        <x:is>
          <x:t xml:space="preserve">Rotated/live-perturbed challenge</x:t>
        </x:is>
      </x:c>
      <x:c r="J5" s="58" t="inlineStr">
        <x:is>
          <x:t xml:space="preserve">Capstone defence</x:t>
        </x:is>
      </x:c>
      <x:c r="K5" s="58" t="inlineStr">
        <x:is>
          <x:t xml:space="preserve">Equivalent written unseen-transfer route</x:t>
        </x:is>
      </x:c>
      <x:c r="L5" s="58" t="inlineStr">
        <x:is>
          <x:t xml:space="preserve">Demonstrated current ability to explain, defend, verify, adapt, and transfer disciplinary judgement in connection with open work.</x:t>
        </x:is>
      </x:c>
      <x:c r="M5" s="58" t="inlineStr">
        <x:is>
          <x:t xml:space="preserve">Specified but untested</x:t>
        </x:is>
      </x:c>
      <x:c r="N5" s="134" t="str"/>
    </x:row>
    <x:row r="6">
      <x:c r="A6" s="57" t="inlineStr">
        <x:is>
          <x:t xml:space="preserve">PLO 3: AI-integrated professional practice</x:t>
        </x:is>
      </x:c>
      <x:c r="B6" s="58" t="inlineStr">
        <x:is>
          <x:t xml:space="preserve">Year 3 capstone</x:t>
        </x:is>
      </x:c>
      <x:c r="C6" s="133" t="n">
        <x:v>30</x:v>
      </x:c>
      <x:c r="D6" s="58" t="inlineStr">
        <x:is>
          <x:t xml:space="preserve">Open</x:t>
        </x:is>
      </x:c>
      <x:c r="E6" s="58" t="inlineStr">
        <x:is>
          <x:t xml:space="preserve">Lane 3</x:t>
        </x:is>
      </x:c>
      <x:c r="F6" s="58" t="inlineStr">
        <x:is>
          <x:t xml:space="preserve">In-person</x:t>
        </x:is>
      </x:c>
      <x:c r="G6" s="58" t="inlineStr">
        <x:is>
          <x:t xml:space="preserve">AI-integrated capability</x:t>
        </x:is>
      </x:c>
      <x:c r="H6" s="58" t="inlineStr">
        <x:is>
          <x:t xml:space="preserve">Workflow evidence plus authenticated judgement / transfer</x:t>
        </x:is>
      </x:c>
      <x:c r="I6" s="58" t="inlineStr">
        <x:is>
          <x:t xml:space="preserve">New failure or changed case</x:t>
        </x:is>
      </x:c>
      <x:c r="J6" s="58" t="inlineStr">
        <x:is>
          <x:t xml:space="preserve">Exit assurance</x:t>
        </x:is>
      </x:c>
      <x:c r="K6" s="58" t="inlineStr">
        <x:is>
          <x:t xml:space="preserve">Equivalent construct-valid route</x:t>
        </x:is>
      </x:c>
      <x:c r="L6" s="58" t="inlineStr">
        <x:is>
          <x:t xml:space="preserve">Demonstrated accountable AI-mediated capability with named human controls.</x:t>
        </x:is>
      </x:c>
      <x:c r="M6" s="58" t="inlineStr">
        <x:is>
          <x:t xml:space="preserve">Specified but untested</x:t>
        </x:is>
      </x:c>
      <x:c r="N6" s="134" t="str"/>
    </x:row>
    <x:row r="7">
      <x:c r="A7" s="57" t="inlineStr">
        <x:is>
          <x:t xml:space="preserve">PLO 4: Practice and feedback</x:t>
        </x:is>
      </x:c>
      <x:c r="B7" s="58" t="inlineStr">
        <x:is>
          <x:t xml:space="preserve">Draft portfolio</x:t>
        </x:is>
      </x:c>
      <x:c r="C7" s="133" t="n">
        <x:v>10</x:v>
      </x:c>
      <x:c r="D7" s="58" t="inlineStr">
        <x:is>
          <x:t xml:space="preserve">Open</x:t>
        </x:is>
      </x:c>
      <x:c r="E7" s="58" t="inlineStr">
        <x:is>
          <x:t xml:space="preserve">Lane 2B</x:t>
        </x:is>
      </x:c>
      <x:c r="F7" s="58" t="inlineStr">
        <x:is>
          <x:t xml:space="preserve">Open remote</x:t>
        </x:is>
      </x:c>
      <x:c r="G7" s="58" t="inlineStr">
        <x:is>
          <x:t xml:space="preserve">Non-certifying learning support</x:t>
        </x:is>
      </x:c>
      <x:c r="H7" s="58" t="inlineStr">
        <x:is>
          <x:t xml:space="preserve">Explicit non-certification designation</x:t>
        </x:is>
      </x:c>
      <x:c r="I7" s="58" t="inlineStr">
        <x:is>
          <x:t xml:space="preserve">Not applicable</x:t>
        </x:is>
      </x:c>
      <x:c r="J7" s="58" t="inlineStr">
        <x:is>
          <x:t xml:space="preserve">Assured elsewhere</x:t>
        </x:is>
      </x:c>
      <x:c r="K7" s="58" t="inlineStr">
        <x:is>
          <x:t xml:space="preserve">Accessible submission route</x:t>
        </x:is>
      </x:c>
      <x:c r="L7" s="58" t="inlineStr">
        <x:is>
          <x:t xml:space="preserve">Supported learning and feedback; not primary certification of capability.</x:t>
        </x:is>
      </x:c>
      <x:c r="M7" s="58" t="inlineStr">
        <x:is>
          <x:t xml:space="preserve">Specified</x:t>
        </x:is>
      </x:c>
      <x:c r="N7" s="134" t="str"/>
    </x:row>
    <x:row r="8">
      <x:c r="A8" s="57" t="str"/>
      <x:c r="B8" s="58" t="str"/>
      <x:c r="C8" s="133" t="str"/>
      <x:c r="D8" s="58" t="str"/>
      <x:c r="E8" s="58" t="str"/>
      <x:c r="F8" s="58" t="str"/>
      <x:c r="G8" s="58" t="str"/>
      <x:c r="H8" s="58" t="str"/>
      <x:c r="I8" s="58" t="str"/>
      <x:c r="J8" s="58" t="str"/>
      <x:c r="K8" s="58" t="str"/>
      <x:c r="L8" s="58" t="str"/>
      <x:c r="M8" s="58" t="str"/>
      <x:c r="N8" s="134" t="str"/>
    </x:row>
    <x:row r="9">
      <x:c r="A9" s="57" t="str"/>
      <x:c r="B9" s="58" t="str"/>
      <x:c r="C9" s="133" t="str"/>
      <x:c r="D9" s="58" t="str"/>
      <x:c r="E9" s="58" t="str"/>
      <x:c r="F9" s="58" t="str"/>
      <x:c r="G9" s="58" t="str"/>
      <x:c r="H9" s="58" t="str"/>
      <x:c r="I9" s="58" t="str"/>
      <x:c r="J9" s="58" t="str"/>
      <x:c r="K9" s="58" t="str"/>
      <x:c r="L9" s="58" t="str"/>
      <x:c r="M9" s="58" t="str"/>
      <x:c r="N9" s="134" t="str"/>
    </x:row>
    <x:row r="10">
      <x:c r="A10" s="57" t="str"/>
      <x:c r="B10" s="58" t="str"/>
      <x:c r="C10" s="133" t="str"/>
      <x:c r="D10" s="58" t="str"/>
      <x:c r="E10" s="58" t="str"/>
      <x:c r="F10" s="58" t="str"/>
      <x:c r="G10" s="58" t="str"/>
      <x:c r="H10" s="58" t="str"/>
      <x:c r="I10" s="58" t="str"/>
      <x:c r="J10" s="58" t="str"/>
      <x:c r="K10" s="58" t="str"/>
      <x:c r="L10" s="58" t="str"/>
      <x:c r="M10" s="58" t="str"/>
      <x:c r="N10" s="134" t="str"/>
    </x:row>
    <x:row r="11">
      <x:c r="A11" s="57" t="str"/>
      <x:c r="B11" s="58" t="str"/>
      <x:c r="C11" s="133" t="str"/>
      <x:c r="D11" s="58" t="str"/>
      <x:c r="E11" s="58" t="str"/>
      <x:c r="F11" s="58" t="str"/>
      <x:c r="G11" s="58" t="str"/>
      <x:c r="H11" s="58" t="str"/>
      <x:c r="I11" s="58" t="str"/>
      <x:c r="J11" s="58" t="str"/>
      <x:c r="K11" s="58" t="str"/>
      <x:c r="L11" s="58" t="str"/>
      <x:c r="M11" s="58" t="str"/>
      <x:c r="N11" s="134" t="str"/>
    </x:row>
    <x:row r="12">
      <x:c r="A12" s="57" t="str"/>
      <x:c r="B12" s="58" t="str"/>
      <x:c r="C12" s="133" t="str"/>
      <x:c r="D12" s="58" t="str"/>
      <x:c r="E12" s="58" t="str"/>
      <x:c r="F12" s="58" t="str"/>
      <x:c r="G12" s="58" t="str"/>
      <x:c r="H12" s="58" t="str"/>
      <x:c r="I12" s="58" t="str"/>
      <x:c r="J12" s="58" t="str"/>
      <x:c r="K12" s="58" t="str"/>
      <x:c r="L12" s="58" t="str"/>
      <x:c r="M12" s="58" t="str"/>
      <x:c r="N12" s="134" t="str"/>
    </x:row>
    <x:row r="13">
      <x:c r="A13" s="57" t="str"/>
      <x:c r="B13" s="58" t="str"/>
      <x:c r="C13" s="133" t="str"/>
      <x:c r="D13" s="58" t="str"/>
      <x:c r="E13" s="58" t="str"/>
      <x:c r="F13" s="58" t="str"/>
      <x:c r="G13" s="58" t="str"/>
      <x:c r="H13" s="58" t="str"/>
      <x:c r="I13" s="58" t="str"/>
      <x:c r="J13" s="58" t="str"/>
      <x:c r="K13" s="58" t="str"/>
      <x:c r="L13" s="58" t="str"/>
      <x:c r="M13" s="58" t="str"/>
      <x:c r="N13" s="134" t="str"/>
    </x:row>
    <x:row r="14">
      <x:c r="A14" s="57" t="str"/>
      <x:c r="B14" s="58" t="str"/>
      <x:c r="C14" s="133" t="str"/>
      <x:c r="D14" s="58" t="str"/>
      <x:c r="E14" s="58" t="str"/>
      <x:c r="F14" s="58" t="str"/>
      <x:c r="G14" s="58" t="str"/>
      <x:c r="H14" s="58" t="str"/>
      <x:c r="I14" s="58" t="str"/>
      <x:c r="J14" s="58" t="str"/>
      <x:c r="K14" s="58" t="str"/>
      <x:c r="L14" s="58" t="str"/>
      <x:c r="M14" s="58" t="str"/>
      <x:c r="N14" s="134" t="str"/>
    </x:row>
    <x:row r="15">
      <x:c r="A15" s="57" t="str"/>
      <x:c r="B15" s="58" t="str"/>
      <x:c r="C15" s="133" t="str"/>
      <x:c r="D15" s="58" t="str"/>
      <x:c r="E15" s="58" t="str"/>
      <x:c r="F15" s="58" t="str"/>
      <x:c r="G15" s="58" t="str"/>
      <x:c r="H15" s="58" t="str"/>
      <x:c r="I15" s="58" t="str"/>
      <x:c r="J15" s="58" t="str"/>
      <x:c r="K15" s="58" t="str"/>
      <x:c r="L15" s="58" t="str"/>
      <x:c r="M15" s="58" t="str"/>
      <x:c r="N15" s="134" t="str"/>
    </x:row>
    <x:row r="16">
      <x:c r="A16" s="57" t="str"/>
      <x:c r="B16" s="58" t="str"/>
      <x:c r="C16" s="133" t="str"/>
      <x:c r="D16" s="58" t="str"/>
      <x:c r="E16" s="58" t="str"/>
      <x:c r="F16" s="58" t="str"/>
      <x:c r="G16" s="58" t="str"/>
      <x:c r="H16" s="58" t="str"/>
      <x:c r="I16" s="58" t="str"/>
      <x:c r="J16" s="58" t="str"/>
      <x:c r="K16" s="58" t="str"/>
      <x:c r="L16" s="58" t="str"/>
      <x:c r="M16" s="58" t="str"/>
      <x:c r="N16" s="134" t="str"/>
    </x:row>
    <x:row r="17">
      <x:c r="A17" s="57" t="str"/>
      <x:c r="B17" s="58" t="str"/>
      <x:c r="C17" s="133" t="str"/>
      <x:c r="D17" s="58" t="str"/>
      <x:c r="E17" s="58" t="str"/>
      <x:c r="F17" s="58" t="str"/>
      <x:c r="G17" s="58" t="str"/>
      <x:c r="H17" s="58" t="str"/>
      <x:c r="I17" s="58" t="str"/>
      <x:c r="J17" s="58" t="str"/>
      <x:c r="K17" s="58" t="str"/>
      <x:c r="L17" s="58" t="str"/>
      <x:c r="M17" s="58" t="str"/>
      <x:c r="N17" s="134" t="str"/>
    </x:row>
    <x:row r="18">
      <x:c r="A18" s="57" t="str"/>
      <x:c r="B18" s="58" t="str"/>
      <x:c r="C18" s="133" t="str"/>
      <x:c r="D18" s="58" t="str"/>
      <x:c r="E18" s="58" t="str"/>
      <x:c r="F18" s="58" t="str"/>
      <x:c r="G18" s="58" t="str"/>
      <x:c r="H18" s="58" t="str"/>
      <x:c r="I18" s="58" t="str"/>
      <x:c r="J18" s="58" t="str"/>
      <x:c r="K18" s="58" t="str"/>
      <x:c r="L18" s="58" t="str"/>
      <x:c r="M18" s="58" t="str"/>
      <x:c r="N18" s="134" t="str"/>
    </x:row>
    <x:row r="19">
      <x:c r="A19" s="57" t="str"/>
      <x:c r="B19" s="58" t="str"/>
      <x:c r="C19" s="133" t="str"/>
      <x:c r="D19" s="58" t="str"/>
      <x:c r="E19" s="58" t="str"/>
      <x:c r="F19" s="58" t="str"/>
      <x:c r="G19" s="58" t="str"/>
      <x:c r="H19" s="58" t="str"/>
      <x:c r="I19" s="58" t="str"/>
      <x:c r="J19" s="58" t="str"/>
      <x:c r="K19" s="58" t="str"/>
      <x:c r="L19" s="58" t="str"/>
      <x:c r="M19" s="58" t="str"/>
      <x:c r="N19" s="134" t="str"/>
    </x:row>
    <x:row r="20">
      <x:c r="A20" s="57" t="str"/>
      <x:c r="B20" s="58" t="str"/>
      <x:c r="C20" s="133" t="str"/>
      <x:c r="D20" s="58" t="str"/>
      <x:c r="E20" s="58" t="str"/>
      <x:c r="F20" s="58" t="str"/>
      <x:c r="G20" s="58" t="str"/>
      <x:c r="H20" s="58" t="str"/>
      <x:c r="I20" s="58" t="str"/>
      <x:c r="J20" s="58" t="str"/>
      <x:c r="K20" s="58" t="str"/>
      <x:c r="L20" s="58" t="str"/>
      <x:c r="M20" s="58" t="str"/>
      <x:c r="N20" s="134" t="str"/>
    </x:row>
    <x:row r="21">
      <x:c r="A21" s="57" t="str"/>
      <x:c r="B21" s="58" t="str"/>
      <x:c r="C21" s="133" t="str"/>
      <x:c r="D21" s="58" t="str"/>
      <x:c r="E21" s="58" t="str"/>
      <x:c r="F21" s="58" t="str"/>
      <x:c r="G21" s="58" t="str"/>
      <x:c r="H21" s="58" t="str"/>
      <x:c r="I21" s="58" t="str"/>
      <x:c r="J21" s="58" t="str"/>
      <x:c r="K21" s="58" t="str"/>
      <x:c r="L21" s="58" t="str"/>
      <x:c r="M21" s="58" t="str"/>
      <x:c r="N21" s="134" t="str"/>
    </x:row>
    <x:row r="22">
      <x:c r="A22" s="57" t="str"/>
      <x:c r="B22" s="58" t="str"/>
      <x:c r="C22" s="133" t="str"/>
      <x:c r="D22" s="58" t="str"/>
      <x:c r="E22" s="58" t="str"/>
      <x:c r="F22" s="58" t="str"/>
      <x:c r="G22" s="58" t="str"/>
      <x:c r="H22" s="58" t="str"/>
      <x:c r="I22" s="58" t="str"/>
      <x:c r="J22" s="58" t="str"/>
      <x:c r="K22" s="58" t="str"/>
      <x:c r="L22" s="58" t="str"/>
      <x:c r="M22" s="58" t="str"/>
      <x:c r="N22" s="134" t="str"/>
    </x:row>
    <x:row r="23">
      <x:c r="A23" s="57" t="str"/>
      <x:c r="B23" s="58" t="str"/>
      <x:c r="C23" s="133" t="str"/>
      <x:c r="D23" s="58" t="str"/>
      <x:c r="E23" s="58" t="str"/>
      <x:c r="F23" s="58" t="str"/>
      <x:c r="G23" s="58" t="str"/>
      <x:c r="H23" s="58" t="str"/>
      <x:c r="I23" s="58" t="str"/>
      <x:c r="J23" s="58" t="str"/>
      <x:c r="K23" s="58" t="str"/>
      <x:c r="L23" s="58" t="str"/>
      <x:c r="M23" s="58" t="str"/>
      <x:c r="N23" s="134" t="str"/>
    </x:row>
    <x:row r="24">
      <x:c r="A24" s="57" t="str"/>
      <x:c r="B24" s="58" t="str"/>
      <x:c r="C24" s="133" t="str"/>
      <x:c r="D24" s="58" t="str"/>
      <x:c r="E24" s="58" t="str"/>
      <x:c r="F24" s="58" t="str"/>
      <x:c r="G24" s="58" t="str"/>
      <x:c r="H24" s="58" t="str"/>
      <x:c r="I24" s="58" t="str"/>
      <x:c r="J24" s="58" t="str"/>
      <x:c r="K24" s="58" t="str"/>
      <x:c r="L24" s="58" t="str"/>
      <x:c r="M24" s="58" t="str"/>
      <x:c r="N24" s="134" t="str"/>
    </x:row>
    <x:row r="25">
      <x:c r="A25" s="57" t="str"/>
      <x:c r="B25" s="58" t="str"/>
      <x:c r="C25" s="133" t="str"/>
      <x:c r="D25" s="58" t="str"/>
      <x:c r="E25" s="58" t="str"/>
      <x:c r="F25" s="58" t="str"/>
      <x:c r="G25" s="58" t="str"/>
      <x:c r="H25" s="58" t="str"/>
      <x:c r="I25" s="58" t="str"/>
      <x:c r="J25" s="58" t="str"/>
      <x:c r="K25" s="58" t="str"/>
      <x:c r="L25" s="58" t="str"/>
      <x:c r="M25" s="58" t="str"/>
      <x:c r="N25" s="134" t="str"/>
    </x:row>
    <x:row r="26">
      <x:c r="A26" s="57" t="str"/>
      <x:c r="B26" s="58" t="str"/>
      <x:c r="C26" s="133" t="str"/>
      <x:c r="D26" s="58" t="str"/>
      <x:c r="E26" s="58" t="str"/>
      <x:c r="F26" s="58" t="str"/>
      <x:c r="G26" s="58" t="str"/>
      <x:c r="H26" s="58" t="str"/>
      <x:c r="I26" s="58" t="str"/>
      <x:c r="J26" s="58" t="str"/>
      <x:c r="K26" s="58" t="str"/>
      <x:c r="L26" s="58" t="str"/>
      <x:c r="M26" s="58" t="str"/>
      <x:c r="N26" s="134" t="str"/>
    </x:row>
    <x:row r="27">
      <x:c r="A27" s="57" t="str"/>
      <x:c r="B27" s="58" t="str"/>
      <x:c r="C27" s="133" t="str"/>
      <x:c r="D27" s="58" t="str"/>
      <x:c r="E27" s="58" t="str"/>
      <x:c r="F27" s="58" t="str"/>
      <x:c r="G27" s="58" t="str"/>
      <x:c r="H27" s="58" t="str"/>
      <x:c r="I27" s="58" t="str"/>
      <x:c r="J27" s="58" t="str"/>
      <x:c r="K27" s="58" t="str"/>
      <x:c r="L27" s="58" t="str"/>
      <x:c r="M27" s="58" t="str"/>
      <x:c r="N27" s="134" t="str"/>
    </x:row>
    <x:row r="28">
      <x:c r="A28" s="57" t="str"/>
      <x:c r="B28" s="58" t="str"/>
      <x:c r="C28" s="133" t="str"/>
      <x:c r="D28" s="58" t="str"/>
      <x:c r="E28" s="58" t="str"/>
      <x:c r="F28" s="58" t="str"/>
      <x:c r="G28" s="58" t="str"/>
      <x:c r="H28" s="58" t="str"/>
      <x:c r="I28" s="58" t="str"/>
      <x:c r="J28" s="58" t="str"/>
      <x:c r="K28" s="58" t="str"/>
      <x:c r="L28" s="58" t="str"/>
      <x:c r="M28" s="58" t="str"/>
      <x:c r="N28" s="134" t="str"/>
    </x:row>
    <x:row r="29">
      <x:c r="A29" s="57" t="str"/>
      <x:c r="B29" s="58" t="str"/>
      <x:c r="C29" s="133" t="str"/>
      <x:c r="D29" s="58" t="str"/>
      <x:c r="E29" s="58" t="str"/>
      <x:c r="F29" s="58" t="str"/>
      <x:c r="G29" s="58" t="str"/>
      <x:c r="H29" s="58" t="str"/>
      <x:c r="I29" s="58" t="str"/>
      <x:c r="J29" s="58" t="str"/>
      <x:c r="K29" s="58" t="str"/>
      <x:c r="L29" s="58" t="str"/>
      <x:c r="M29" s="58" t="str"/>
      <x:c r="N29" s="134" t="str"/>
    </x:row>
    <x:row r="30">
      <x:c r="A30" s="57" t="str"/>
      <x:c r="B30" s="58" t="str"/>
      <x:c r="C30" s="133" t="str"/>
      <x:c r="D30" s="58" t="str"/>
      <x:c r="E30" s="58" t="str"/>
      <x:c r="F30" s="58" t="str"/>
      <x:c r="G30" s="58" t="str"/>
      <x:c r="H30" s="58" t="str"/>
      <x:c r="I30" s="58" t="str"/>
      <x:c r="J30" s="58" t="str"/>
      <x:c r="K30" s="58" t="str"/>
      <x:c r="L30" s="58" t="str"/>
      <x:c r="M30" s="58" t="str"/>
      <x:c r="N30" s="134" t="str"/>
    </x:row>
    <x:row r="31">
      <x:c r="A31" s="57" t="str"/>
      <x:c r="B31" s="58" t="str"/>
      <x:c r="C31" s="133" t="str"/>
      <x:c r="D31" s="58" t="str"/>
      <x:c r="E31" s="58" t="str"/>
      <x:c r="F31" s="58" t="str"/>
      <x:c r="G31" s="58" t="str"/>
      <x:c r="H31" s="58" t="str"/>
      <x:c r="I31" s="58" t="str"/>
      <x:c r="J31" s="58" t="str"/>
      <x:c r="K31" s="58" t="str"/>
      <x:c r="L31" s="58" t="str"/>
      <x:c r="M31" s="58" t="str"/>
      <x:c r="N31" s="134" t="str"/>
    </x:row>
    <x:row r="32">
      <x:c r="A32" s="57" t="str"/>
      <x:c r="B32" s="58" t="str"/>
      <x:c r="C32" s="133" t="str"/>
      <x:c r="D32" s="58" t="str"/>
      <x:c r="E32" s="58" t="str"/>
      <x:c r="F32" s="58" t="str"/>
      <x:c r="G32" s="58" t="str"/>
      <x:c r="H32" s="58" t="str"/>
      <x:c r="I32" s="58" t="str"/>
      <x:c r="J32" s="58" t="str"/>
      <x:c r="K32" s="58" t="str"/>
      <x:c r="L32" s="58" t="str"/>
      <x:c r="M32" s="58" t="str"/>
      <x:c r="N32" s="134" t="str"/>
    </x:row>
    <x:row r="33">
      <x:c r="A33" s="57" t="str"/>
      <x:c r="B33" s="58" t="str"/>
      <x:c r="C33" s="133" t="str"/>
      <x:c r="D33" s="58" t="str"/>
      <x:c r="E33" s="58" t="str"/>
      <x:c r="F33" s="58" t="str"/>
      <x:c r="G33" s="58" t="str"/>
      <x:c r="H33" s="58" t="str"/>
      <x:c r="I33" s="58" t="str"/>
      <x:c r="J33" s="58" t="str"/>
      <x:c r="K33" s="58" t="str"/>
      <x:c r="L33" s="58" t="str"/>
      <x:c r="M33" s="58" t="str"/>
      <x:c r="N33" s="134" t="str"/>
    </x:row>
    <x:row r="34">
      <x:c r="A34" s="57" t="str"/>
      <x:c r="B34" s="58" t="str"/>
      <x:c r="C34" s="133" t="str"/>
      <x:c r="D34" s="58" t="str"/>
      <x:c r="E34" s="58" t="str"/>
      <x:c r="F34" s="58" t="str"/>
      <x:c r="G34" s="58" t="str"/>
      <x:c r="H34" s="58" t="str"/>
      <x:c r="I34" s="58" t="str"/>
      <x:c r="J34" s="58" t="str"/>
      <x:c r="K34" s="58" t="str"/>
      <x:c r="L34" s="58" t="str"/>
      <x:c r="M34" s="58" t="str"/>
      <x:c r="N34" s="134" t="str"/>
    </x:row>
    <x:row r="35">
      <x:c r="A35" s="57" t="str"/>
      <x:c r="B35" s="58" t="str"/>
      <x:c r="C35" s="133" t="str"/>
      <x:c r="D35" s="58" t="str"/>
      <x:c r="E35" s="58" t="str"/>
      <x:c r="F35" s="58" t="str"/>
      <x:c r="G35" s="58" t="str"/>
      <x:c r="H35" s="58" t="str"/>
      <x:c r="I35" s="58" t="str"/>
      <x:c r="J35" s="58" t="str"/>
      <x:c r="K35" s="58" t="str"/>
      <x:c r="L35" s="58" t="str"/>
      <x:c r="M35" s="58" t="str"/>
      <x:c r="N35" s="134" t="str"/>
    </x:row>
    <x:row r="36">
      <x:c r="A36" s="57" t="str"/>
      <x:c r="B36" s="58" t="str"/>
      <x:c r="C36" s="133" t="str"/>
      <x:c r="D36" s="58" t="str"/>
      <x:c r="E36" s="58" t="str"/>
      <x:c r="F36" s="58" t="str"/>
      <x:c r="G36" s="58" t="str"/>
      <x:c r="H36" s="58" t="str"/>
      <x:c r="I36" s="58" t="str"/>
      <x:c r="J36" s="58" t="str"/>
      <x:c r="K36" s="58" t="str"/>
      <x:c r="L36" s="58" t="str"/>
      <x:c r="M36" s="58" t="str"/>
      <x:c r="N36" s="134" t="str"/>
    </x:row>
    <x:row r="37">
      <x:c r="A37" s="57" t="str"/>
      <x:c r="B37" s="58" t="str"/>
      <x:c r="C37" s="133" t="str"/>
      <x:c r="D37" s="58" t="str"/>
      <x:c r="E37" s="58" t="str"/>
      <x:c r="F37" s="58" t="str"/>
      <x:c r="G37" s="58" t="str"/>
      <x:c r="H37" s="58" t="str"/>
      <x:c r="I37" s="58" t="str"/>
      <x:c r="J37" s="58" t="str"/>
      <x:c r="K37" s="58" t="str"/>
      <x:c r="L37" s="58" t="str"/>
      <x:c r="M37" s="58" t="str"/>
      <x:c r="N37" s="134" t="str"/>
    </x:row>
    <x:row r="38">
      <x:c r="A38" s="57" t="str"/>
      <x:c r="B38" s="58" t="str"/>
      <x:c r="C38" s="133" t="str"/>
      <x:c r="D38" s="58" t="str"/>
      <x:c r="E38" s="58" t="str"/>
      <x:c r="F38" s="58" t="str"/>
      <x:c r="G38" s="58" t="str"/>
      <x:c r="H38" s="58" t="str"/>
      <x:c r="I38" s="58" t="str"/>
      <x:c r="J38" s="58" t="str"/>
      <x:c r="K38" s="58" t="str"/>
      <x:c r="L38" s="58" t="str"/>
      <x:c r="M38" s="58" t="str"/>
      <x:c r="N38" s="134" t="str"/>
    </x:row>
    <x:row r="39">
      <x:c r="A39" s="57" t="str"/>
      <x:c r="B39" s="58" t="str"/>
      <x:c r="C39" s="133" t="str"/>
      <x:c r="D39" s="58" t="str"/>
      <x:c r="E39" s="58" t="str"/>
      <x:c r="F39" s="58" t="str"/>
      <x:c r="G39" s="58" t="str"/>
      <x:c r="H39" s="58" t="str"/>
      <x:c r="I39" s="58" t="str"/>
      <x:c r="J39" s="58" t="str"/>
      <x:c r="K39" s="58" t="str"/>
      <x:c r="L39" s="58" t="str"/>
      <x:c r="M39" s="58" t="str"/>
      <x:c r="N39" s="134" t="str"/>
    </x:row>
    <x:row r="40">
      <x:c r="A40" s="57" t="str"/>
      <x:c r="B40" s="58" t="str"/>
      <x:c r="C40" s="133" t="str"/>
      <x:c r="D40" s="58" t="str"/>
      <x:c r="E40" s="58" t="str"/>
      <x:c r="F40" s="58" t="str"/>
      <x:c r="G40" s="58" t="str"/>
      <x:c r="H40" s="58" t="str"/>
      <x:c r="I40" s="58" t="str"/>
      <x:c r="J40" s="58" t="str"/>
      <x:c r="K40" s="58" t="str"/>
      <x:c r="L40" s="58" t="str"/>
      <x:c r="M40" s="58" t="str"/>
      <x:c r="N40" s="134" t="str"/>
    </x:row>
    <x:row r="41">
      <x:c r="A41" s="57" t="str"/>
      <x:c r="B41" s="58" t="str"/>
      <x:c r="C41" s="133" t="str"/>
      <x:c r="D41" s="58" t="str"/>
      <x:c r="E41" s="58" t="str"/>
      <x:c r="F41" s="58" t="str"/>
      <x:c r="G41" s="58" t="str"/>
      <x:c r="H41" s="58" t="str"/>
      <x:c r="I41" s="58" t="str"/>
      <x:c r="J41" s="58" t="str"/>
      <x:c r="K41" s="58" t="str"/>
      <x:c r="L41" s="58" t="str"/>
      <x:c r="M41" s="58" t="str"/>
      <x:c r="N41" s="134" t="str"/>
    </x:row>
    <x:row r="42">
      <x:c r="A42" s="57" t="str"/>
      <x:c r="B42" s="58" t="str"/>
      <x:c r="C42" s="133" t="str"/>
      <x:c r="D42" s="58" t="str"/>
      <x:c r="E42" s="58" t="str"/>
      <x:c r="F42" s="58" t="str"/>
      <x:c r="G42" s="58" t="str"/>
      <x:c r="H42" s="58" t="str"/>
      <x:c r="I42" s="58" t="str"/>
      <x:c r="J42" s="58" t="str"/>
      <x:c r="K42" s="58" t="str"/>
      <x:c r="L42" s="58" t="str"/>
      <x:c r="M42" s="58" t="str"/>
      <x:c r="N42" s="134" t="str"/>
    </x:row>
    <x:row r="43">
      <x:c r="A43" s="57" t="str"/>
      <x:c r="B43" s="58" t="str"/>
      <x:c r="C43" s="133" t="str"/>
      <x:c r="D43" s="58" t="str"/>
      <x:c r="E43" s="58" t="str"/>
      <x:c r="F43" s="58" t="str"/>
      <x:c r="G43" s="58" t="str"/>
      <x:c r="H43" s="58" t="str"/>
      <x:c r="I43" s="58" t="str"/>
      <x:c r="J43" s="58" t="str"/>
      <x:c r="K43" s="58" t="str"/>
      <x:c r="L43" s="58" t="str"/>
      <x:c r="M43" s="58" t="str"/>
      <x:c r="N43" s="134" t="str"/>
    </x:row>
    <x:row r="44">
      <x:c r="A44" s="57" t="str"/>
      <x:c r="B44" s="58" t="str"/>
      <x:c r="C44" s="133" t="str"/>
      <x:c r="D44" s="58" t="str"/>
      <x:c r="E44" s="58" t="str"/>
      <x:c r="F44" s="58" t="str"/>
      <x:c r="G44" s="58" t="str"/>
      <x:c r="H44" s="58" t="str"/>
      <x:c r="I44" s="58" t="str"/>
      <x:c r="J44" s="58" t="str"/>
      <x:c r="K44" s="58" t="str"/>
      <x:c r="L44" s="58" t="str"/>
      <x:c r="M44" s="58" t="str"/>
      <x:c r="N44" s="134" t="str"/>
    </x:row>
    <x:row r="45">
      <x:c r="A45" s="57" t="str"/>
      <x:c r="B45" s="58" t="str"/>
      <x:c r="C45" s="133" t="str"/>
      <x:c r="D45" s="58" t="str"/>
      <x:c r="E45" s="58" t="str"/>
      <x:c r="F45" s="58" t="str"/>
      <x:c r="G45" s="58" t="str"/>
      <x:c r="H45" s="58" t="str"/>
      <x:c r="I45" s="58" t="str"/>
      <x:c r="J45" s="58" t="str"/>
      <x:c r="K45" s="58" t="str"/>
      <x:c r="L45" s="58" t="str"/>
      <x:c r="M45" s="58" t="str"/>
      <x:c r="N45" s="134" t="str"/>
    </x:row>
    <x:row r="46">
      <x:c r="A46" s="57" t="str"/>
      <x:c r="B46" s="58" t="str"/>
      <x:c r="C46" s="133" t="str"/>
      <x:c r="D46" s="58" t="str"/>
      <x:c r="E46" s="58" t="str"/>
      <x:c r="F46" s="58" t="str"/>
      <x:c r="G46" s="58" t="str"/>
      <x:c r="H46" s="58" t="str"/>
      <x:c r="I46" s="58" t="str"/>
      <x:c r="J46" s="58" t="str"/>
      <x:c r="K46" s="58" t="str"/>
      <x:c r="L46" s="58" t="str"/>
      <x:c r="M46" s="58" t="str"/>
      <x:c r="N46" s="134" t="str"/>
    </x:row>
    <x:row r="47">
      <x:c r="A47" s="57" t="str"/>
      <x:c r="B47" s="58" t="str"/>
      <x:c r="C47" s="133" t="str"/>
      <x:c r="D47" s="58" t="str"/>
      <x:c r="E47" s="58" t="str"/>
      <x:c r="F47" s="58" t="str"/>
      <x:c r="G47" s="58" t="str"/>
      <x:c r="H47" s="58" t="str"/>
      <x:c r="I47" s="58" t="str"/>
      <x:c r="J47" s="58" t="str"/>
      <x:c r="K47" s="58" t="str"/>
      <x:c r="L47" s="58" t="str"/>
      <x:c r="M47" s="58" t="str"/>
      <x:c r="N47" s="134" t="str"/>
    </x:row>
    <x:row r="48">
      <x:c r="A48" s="57" t="str"/>
      <x:c r="B48" s="58" t="str"/>
      <x:c r="C48" s="133" t="str"/>
      <x:c r="D48" s="58" t="str"/>
      <x:c r="E48" s="58" t="str"/>
      <x:c r="F48" s="58" t="str"/>
      <x:c r="G48" s="58" t="str"/>
      <x:c r="H48" s="58" t="str"/>
      <x:c r="I48" s="58" t="str"/>
      <x:c r="J48" s="58" t="str"/>
      <x:c r="K48" s="58" t="str"/>
      <x:c r="L48" s="58" t="str"/>
      <x:c r="M48" s="58" t="str"/>
      <x:c r="N48" s="134" t="str"/>
    </x:row>
    <x:row r="49">
      <x:c r="A49" s="57" t="str"/>
      <x:c r="B49" s="58" t="str"/>
      <x:c r="C49" s="133" t="str"/>
      <x:c r="D49" s="58" t="str"/>
      <x:c r="E49" s="58" t="str"/>
      <x:c r="F49" s="58" t="str"/>
      <x:c r="G49" s="58" t="str"/>
      <x:c r="H49" s="58" t="str"/>
      <x:c r="I49" s="58" t="str"/>
      <x:c r="J49" s="58" t="str"/>
      <x:c r="K49" s="58" t="str"/>
      <x:c r="L49" s="58" t="str"/>
      <x:c r="M49" s="58" t="str"/>
      <x:c r="N49" s="134" t="str"/>
    </x:row>
    <x:row r="50">
      <x:c r="A50" s="57" t="str"/>
      <x:c r="B50" s="58" t="str"/>
      <x:c r="C50" s="133" t="str"/>
      <x:c r="D50" s="58" t="str"/>
      <x:c r="E50" s="58" t="str"/>
      <x:c r="F50" s="58" t="str"/>
      <x:c r="G50" s="58" t="str"/>
      <x:c r="H50" s="58" t="str"/>
      <x:c r="I50" s="58" t="str"/>
      <x:c r="J50" s="58" t="str"/>
      <x:c r="K50" s="58" t="str"/>
      <x:c r="L50" s="58" t="str"/>
      <x:c r="M50" s="58" t="str"/>
      <x:c r="N50" s="134" t="str"/>
    </x:row>
    <x:row r="51">
      <x:c r="A51" s="57" t="str"/>
      <x:c r="B51" s="58" t="str"/>
      <x:c r="C51" s="133" t="str"/>
      <x:c r="D51" s="58" t="str"/>
      <x:c r="E51" s="58" t="str"/>
      <x:c r="F51" s="58" t="str"/>
      <x:c r="G51" s="58" t="str"/>
      <x:c r="H51" s="58" t="str"/>
      <x:c r="I51" s="58" t="str"/>
      <x:c r="J51" s="58" t="str"/>
      <x:c r="K51" s="58" t="str"/>
      <x:c r="L51" s="58" t="str"/>
      <x:c r="M51" s="58" t="str"/>
      <x:c r="N51" s="134" t="str"/>
    </x:row>
    <x:row r="52">
      <x:c r="A52" s="57" t="str"/>
      <x:c r="B52" s="58" t="str"/>
      <x:c r="C52" s="133" t="str"/>
      <x:c r="D52" s="58" t="str"/>
      <x:c r="E52" s="58" t="str"/>
      <x:c r="F52" s="58" t="str"/>
      <x:c r="G52" s="58" t="str"/>
      <x:c r="H52" s="58" t="str"/>
      <x:c r="I52" s="58" t="str"/>
      <x:c r="J52" s="58" t="str"/>
      <x:c r="K52" s="58" t="str"/>
      <x:c r="L52" s="58" t="str"/>
      <x:c r="M52" s="58" t="str"/>
      <x:c r="N52" s="134" t="str"/>
    </x:row>
    <x:row r="53">
      <x:c r="A53" s="57" t="str"/>
      <x:c r="B53" s="58" t="str"/>
      <x:c r="C53" s="133" t="str"/>
      <x:c r="D53" s="58" t="str"/>
      <x:c r="E53" s="58" t="str"/>
      <x:c r="F53" s="58" t="str"/>
      <x:c r="G53" s="58" t="str"/>
      <x:c r="H53" s="58" t="str"/>
      <x:c r="I53" s="58" t="str"/>
      <x:c r="J53" s="58" t="str"/>
      <x:c r="K53" s="58" t="str"/>
      <x:c r="L53" s="58" t="str"/>
      <x:c r="M53" s="58" t="str"/>
      <x:c r="N53" s="134" t="str"/>
    </x:row>
    <x:row r="54">
      <x:c r="A54" s="57" t="str"/>
      <x:c r="B54" s="58" t="str"/>
      <x:c r="C54" s="133" t="str"/>
      <x:c r="D54" s="58" t="str"/>
      <x:c r="E54" s="58" t="str"/>
      <x:c r="F54" s="58" t="str"/>
      <x:c r="G54" s="58" t="str"/>
      <x:c r="H54" s="58" t="str"/>
      <x:c r="I54" s="58" t="str"/>
      <x:c r="J54" s="58" t="str"/>
      <x:c r="K54" s="58" t="str"/>
      <x:c r="L54" s="58" t="str"/>
      <x:c r="M54" s="58" t="str"/>
      <x:c r="N54" s="134" t="str"/>
    </x:row>
    <x:row r="55">
      <x:c r="A55" s="57" t="str"/>
      <x:c r="B55" s="58" t="str"/>
      <x:c r="C55" s="133" t="str"/>
      <x:c r="D55" s="58" t="str"/>
      <x:c r="E55" s="58" t="str"/>
      <x:c r="F55" s="58" t="str"/>
      <x:c r="G55" s="58" t="str"/>
      <x:c r="H55" s="58" t="str"/>
      <x:c r="I55" s="58" t="str"/>
      <x:c r="J55" s="58" t="str"/>
      <x:c r="K55" s="58" t="str"/>
      <x:c r="L55" s="58" t="str"/>
      <x:c r="M55" s="58" t="str"/>
      <x:c r="N55" s="134" t="str"/>
    </x:row>
    <x:row r="56">
      <x:c r="A56" s="57" t="str"/>
      <x:c r="B56" s="58" t="str"/>
      <x:c r="C56" s="133" t="str"/>
      <x:c r="D56" s="58" t="str"/>
      <x:c r="E56" s="58" t="str"/>
      <x:c r="F56" s="58" t="str"/>
      <x:c r="G56" s="58" t="str"/>
      <x:c r="H56" s="58" t="str"/>
      <x:c r="I56" s="58" t="str"/>
      <x:c r="J56" s="58" t="str"/>
      <x:c r="K56" s="58" t="str"/>
      <x:c r="L56" s="58" t="str"/>
      <x:c r="M56" s="58" t="str"/>
      <x:c r="N56" s="134" t="str"/>
    </x:row>
    <x:row r="57">
      <x:c r="A57" s="57" t="str"/>
      <x:c r="B57" s="58" t="str"/>
      <x:c r="C57" s="133" t="str"/>
      <x:c r="D57" s="58" t="str"/>
      <x:c r="E57" s="58" t="str"/>
      <x:c r="F57" s="58" t="str"/>
      <x:c r="G57" s="58" t="str"/>
      <x:c r="H57" s="58" t="str"/>
      <x:c r="I57" s="58" t="str"/>
      <x:c r="J57" s="58" t="str"/>
      <x:c r="K57" s="58" t="str"/>
      <x:c r="L57" s="58" t="str"/>
      <x:c r="M57" s="58" t="str"/>
      <x:c r="N57" s="134" t="str"/>
    </x:row>
    <x:row r="58">
      <x:c r="A58" s="57" t="str"/>
      <x:c r="B58" s="58" t="str"/>
      <x:c r="C58" s="133" t="str"/>
      <x:c r="D58" s="58" t="str"/>
      <x:c r="E58" s="58" t="str"/>
      <x:c r="F58" s="58" t="str"/>
      <x:c r="G58" s="58" t="str"/>
      <x:c r="H58" s="58" t="str"/>
      <x:c r="I58" s="58" t="str"/>
      <x:c r="J58" s="58" t="str"/>
      <x:c r="K58" s="58" t="str"/>
      <x:c r="L58" s="58" t="str"/>
      <x:c r="M58" s="58" t="str"/>
      <x:c r="N58" s="134" t="str"/>
    </x:row>
    <x:row r="59">
      <x:c r="A59" s="57" t="str"/>
      <x:c r="B59" s="58" t="str"/>
      <x:c r="C59" s="133" t="str"/>
      <x:c r="D59" s="58" t="str"/>
      <x:c r="E59" s="58" t="str"/>
      <x:c r="F59" s="58" t="str"/>
      <x:c r="G59" s="58" t="str"/>
      <x:c r="H59" s="58" t="str"/>
      <x:c r="I59" s="58" t="str"/>
      <x:c r="J59" s="58" t="str"/>
      <x:c r="K59" s="58" t="str"/>
      <x:c r="L59" s="58" t="str"/>
      <x:c r="M59" s="58" t="str"/>
      <x:c r="N59" s="134" t="str"/>
    </x:row>
    <x:row r="60">
      <x:c r="A60" s="57" t="str"/>
      <x:c r="B60" s="58" t="str"/>
      <x:c r="C60" s="133" t="str"/>
      <x:c r="D60" s="58" t="str"/>
      <x:c r="E60" s="58" t="str"/>
      <x:c r="F60" s="58" t="str"/>
      <x:c r="G60" s="58" t="str"/>
      <x:c r="H60" s="58" t="str"/>
      <x:c r="I60" s="58" t="str"/>
      <x:c r="J60" s="58" t="str"/>
      <x:c r="K60" s="58" t="str"/>
      <x:c r="L60" s="58" t="str"/>
      <x:c r="M60" s="58" t="str"/>
      <x:c r="N60" s="134" t="str"/>
    </x:row>
    <x:row r="61">
      <x:c r="A61" s="57" t="str"/>
      <x:c r="B61" s="58" t="str"/>
      <x:c r="C61" s="133" t="str"/>
      <x:c r="D61" s="58" t="str"/>
      <x:c r="E61" s="58" t="str"/>
      <x:c r="F61" s="58" t="str"/>
      <x:c r="G61" s="58" t="str"/>
      <x:c r="H61" s="58" t="str"/>
      <x:c r="I61" s="58" t="str"/>
      <x:c r="J61" s="58" t="str"/>
      <x:c r="K61" s="58" t="str"/>
      <x:c r="L61" s="58" t="str"/>
      <x:c r="M61" s="58" t="str"/>
      <x:c r="N61" s="134" t="str"/>
    </x:row>
    <x:row r="62">
      <x:c r="A62" s="57" t="str"/>
      <x:c r="B62" s="58" t="str"/>
      <x:c r="C62" s="133" t="str"/>
      <x:c r="D62" s="58" t="str"/>
      <x:c r="E62" s="58" t="str"/>
      <x:c r="F62" s="58" t="str"/>
      <x:c r="G62" s="58" t="str"/>
      <x:c r="H62" s="58" t="str"/>
      <x:c r="I62" s="58" t="str"/>
      <x:c r="J62" s="58" t="str"/>
      <x:c r="K62" s="58" t="str"/>
      <x:c r="L62" s="58" t="str"/>
      <x:c r="M62" s="58" t="str"/>
      <x:c r="N62" s="134" t="str"/>
    </x:row>
    <x:row r="63">
      <x:c r="A63" s="57" t="str"/>
      <x:c r="B63" s="58" t="str"/>
      <x:c r="C63" s="133" t="str"/>
      <x:c r="D63" s="58" t="str"/>
      <x:c r="E63" s="58" t="str"/>
      <x:c r="F63" s="58" t="str"/>
      <x:c r="G63" s="58" t="str"/>
      <x:c r="H63" s="58" t="str"/>
      <x:c r="I63" s="58" t="str"/>
      <x:c r="J63" s="58" t="str"/>
      <x:c r="K63" s="58" t="str"/>
      <x:c r="L63" s="58" t="str"/>
      <x:c r="M63" s="58" t="str"/>
      <x:c r="N63" s="134" t="str"/>
    </x:row>
    <x:row r="64">
      <x:c r="A64" s="57" t="str"/>
      <x:c r="B64" s="58" t="str"/>
      <x:c r="C64" s="133" t="str"/>
      <x:c r="D64" s="58" t="str"/>
      <x:c r="E64" s="58" t="str"/>
      <x:c r="F64" s="58" t="str"/>
      <x:c r="G64" s="58" t="str"/>
      <x:c r="H64" s="58" t="str"/>
      <x:c r="I64" s="58" t="str"/>
      <x:c r="J64" s="58" t="str"/>
      <x:c r="K64" s="58" t="str"/>
      <x:c r="L64" s="58" t="str"/>
      <x:c r="M64" s="58" t="str"/>
      <x:c r="N64" s="134" t="str"/>
    </x:row>
    <x:row r="65">
      <x:c r="A65" s="57" t="str"/>
      <x:c r="B65" s="58" t="str"/>
      <x:c r="C65" s="133" t="str"/>
      <x:c r="D65" s="58" t="str"/>
      <x:c r="E65" s="58" t="str"/>
      <x:c r="F65" s="58" t="str"/>
      <x:c r="G65" s="58" t="str"/>
      <x:c r="H65" s="58" t="str"/>
      <x:c r="I65" s="58" t="str"/>
      <x:c r="J65" s="58" t="str"/>
      <x:c r="K65" s="58" t="str"/>
      <x:c r="L65" s="58" t="str"/>
      <x:c r="M65" s="58" t="str"/>
      <x:c r="N65" s="134" t="str"/>
    </x:row>
    <x:row r="66">
      <x:c r="A66" s="57" t="str"/>
      <x:c r="B66" s="58" t="str"/>
      <x:c r="C66" s="133" t="str"/>
      <x:c r="D66" s="58" t="str"/>
      <x:c r="E66" s="58" t="str"/>
      <x:c r="F66" s="58" t="str"/>
      <x:c r="G66" s="58" t="str"/>
      <x:c r="H66" s="58" t="str"/>
      <x:c r="I66" s="58" t="str"/>
      <x:c r="J66" s="58" t="str"/>
      <x:c r="K66" s="58" t="str"/>
      <x:c r="L66" s="58" t="str"/>
      <x:c r="M66" s="58" t="str"/>
      <x:c r="N66" s="134" t="str"/>
    </x:row>
    <x:row r="67">
      <x:c r="A67" s="57" t="str"/>
      <x:c r="B67" s="58" t="str"/>
      <x:c r="C67" s="133" t="str"/>
      <x:c r="D67" s="58" t="str"/>
      <x:c r="E67" s="58" t="str"/>
      <x:c r="F67" s="58" t="str"/>
      <x:c r="G67" s="58" t="str"/>
      <x:c r="H67" s="58" t="str"/>
      <x:c r="I67" s="58" t="str"/>
      <x:c r="J67" s="58" t="str"/>
      <x:c r="K67" s="58" t="str"/>
      <x:c r="L67" s="58" t="str"/>
      <x:c r="M67" s="58" t="str"/>
      <x:c r="N67" s="134" t="str"/>
    </x:row>
    <x:row r="68">
      <x:c r="A68" s="57" t="str"/>
      <x:c r="B68" s="58" t="str"/>
      <x:c r="C68" s="133" t="str"/>
      <x:c r="D68" s="58" t="str"/>
      <x:c r="E68" s="58" t="str"/>
      <x:c r="F68" s="58" t="str"/>
      <x:c r="G68" s="58" t="str"/>
      <x:c r="H68" s="58" t="str"/>
      <x:c r="I68" s="58" t="str"/>
      <x:c r="J68" s="58" t="str"/>
      <x:c r="K68" s="58" t="str"/>
      <x:c r="L68" s="58" t="str"/>
      <x:c r="M68" s="58" t="str"/>
      <x:c r="N68" s="134" t="str"/>
    </x:row>
    <x:row r="69">
      <x:c r="A69" s="57" t="str"/>
      <x:c r="B69" s="58" t="str"/>
      <x:c r="C69" s="133" t="str"/>
      <x:c r="D69" s="58" t="str"/>
      <x:c r="E69" s="58" t="str"/>
      <x:c r="F69" s="58" t="str"/>
      <x:c r="G69" s="58" t="str"/>
      <x:c r="H69" s="58" t="str"/>
      <x:c r="I69" s="58" t="str"/>
      <x:c r="J69" s="58" t="str"/>
      <x:c r="K69" s="58" t="str"/>
      <x:c r="L69" s="58" t="str"/>
      <x:c r="M69" s="58" t="str"/>
      <x:c r="N69" s="134" t="str"/>
    </x:row>
    <x:row r="70">
      <x:c r="A70" s="57" t="str"/>
      <x:c r="B70" s="58" t="str"/>
      <x:c r="C70" s="133" t="str"/>
      <x:c r="D70" s="58" t="str"/>
      <x:c r="E70" s="58" t="str"/>
      <x:c r="F70" s="58" t="str"/>
      <x:c r="G70" s="58" t="str"/>
      <x:c r="H70" s="58" t="str"/>
      <x:c r="I70" s="58" t="str"/>
      <x:c r="J70" s="58" t="str"/>
      <x:c r="K70" s="58" t="str"/>
      <x:c r="L70" s="58" t="str"/>
      <x:c r="M70" s="58" t="str"/>
      <x:c r="N70" s="134" t="str"/>
    </x:row>
    <x:row r="71">
      <x:c r="A71" s="57" t="str"/>
      <x:c r="B71" s="58" t="str"/>
      <x:c r="C71" s="133" t="str"/>
      <x:c r="D71" s="58" t="str"/>
      <x:c r="E71" s="58" t="str"/>
      <x:c r="F71" s="58" t="str"/>
      <x:c r="G71" s="58" t="str"/>
      <x:c r="H71" s="58" t="str"/>
      <x:c r="I71" s="58" t="str"/>
      <x:c r="J71" s="58" t="str"/>
      <x:c r="K71" s="58" t="str"/>
      <x:c r="L71" s="58" t="str"/>
      <x:c r="M71" s="58" t="str"/>
      <x:c r="N71" s="134" t="str"/>
    </x:row>
    <x:row r="72">
      <x:c r="A72" s="57" t="str"/>
      <x:c r="B72" s="58" t="str"/>
      <x:c r="C72" s="133" t="str"/>
      <x:c r="D72" s="58" t="str"/>
      <x:c r="E72" s="58" t="str"/>
      <x:c r="F72" s="58" t="str"/>
      <x:c r="G72" s="58" t="str"/>
      <x:c r="H72" s="58" t="str"/>
      <x:c r="I72" s="58" t="str"/>
      <x:c r="J72" s="58" t="str"/>
      <x:c r="K72" s="58" t="str"/>
      <x:c r="L72" s="58" t="str"/>
      <x:c r="M72" s="58" t="str"/>
      <x:c r="N72" s="134" t="str"/>
    </x:row>
    <x:row r="73">
      <x:c r="A73" s="57" t="str"/>
      <x:c r="B73" s="58" t="str"/>
      <x:c r="C73" s="133" t="str"/>
      <x:c r="D73" s="58" t="str"/>
      <x:c r="E73" s="58" t="str"/>
      <x:c r="F73" s="58" t="str"/>
      <x:c r="G73" s="58" t="str"/>
      <x:c r="H73" s="58" t="str"/>
      <x:c r="I73" s="58" t="str"/>
      <x:c r="J73" s="58" t="str"/>
      <x:c r="K73" s="58" t="str"/>
      <x:c r="L73" s="58" t="str"/>
      <x:c r="M73" s="58" t="str"/>
      <x:c r="N73" s="134" t="str"/>
    </x:row>
    <x:row r="74">
      <x:c r="A74" s="57" t="str"/>
      <x:c r="B74" s="58" t="str"/>
      <x:c r="C74" s="133" t="str"/>
      <x:c r="D74" s="58" t="str"/>
      <x:c r="E74" s="58" t="str"/>
      <x:c r="F74" s="58" t="str"/>
      <x:c r="G74" s="58" t="str"/>
      <x:c r="H74" s="58" t="str"/>
      <x:c r="I74" s="58" t="str"/>
      <x:c r="J74" s="58" t="str"/>
      <x:c r="K74" s="58" t="str"/>
      <x:c r="L74" s="58" t="str"/>
      <x:c r="M74" s="58" t="str"/>
      <x:c r="N74" s="134" t="str"/>
    </x:row>
    <x:row r="75">
      <x:c r="A75" s="57" t="str"/>
      <x:c r="B75" s="58" t="str"/>
      <x:c r="C75" s="133" t="str"/>
      <x:c r="D75" s="58" t="str"/>
      <x:c r="E75" s="58" t="str"/>
      <x:c r="F75" s="58" t="str"/>
      <x:c r="G75" s="58" t="str"/>
      <x:c r="H75" s="58" t="str"/>
      <x:c r="I75" s="58" t="str"/>
      <x:c r="J75" s="58" t="str"/>
      <x:c r="K75" s="58" t="str"/>
      <x:c r="L75" s="58" t="str"/>
      <x:c r="M75" s="58" t="str"/>
      <x:c r="N75" s="134" t="str"/>
    </x:row>
    <x:row r="76">
      <x:c r="A76" s="57" t="str"/>
      <x:c r="B76" s="58" t="str"/>
      <x:c r="C76" s="133" t="str"/>
      <x:c r="D76" s="58" t="str"/>
      <x:c r="E76" s="58" t="str"/>
      <x:c r="F76" s="58" t="str"/>
      <x:c r="G76" s="58" t="str"/>
      <x:c r="H76" s="58" t="str"/>
      <x:c r="I76" s="58" t="str"/>
      <x:c r="J76" s="58" t="str"/>
      <x:c r="K76" s="58" t="str"/>
      <x:c r="L76" s="58" t="str"/>
      <x:c r="M76" s="58" t="str"/>
      <x:c r="N76" s="134" t="str"/>
    </x:row>
    <x:row r="77">
      <x:c r="A77" s="57" t="str"/>
      <x:c r="B77" s="58" t="str"/>
      <x:c r="C77" s="133" t="str"/>
      <x:c r="D77" s="58" t="str"/>
      <x:c r="E77" s="58" t="str"/>
      <x:c r="F77" s="58" t="str"/>
      <x:c r="G77" s="58" t="str"/>
      <x:c r="H77" s="58" t="str"/>
      <x:c r="I77" s="58" t="str"/>
      <x:c r="J77" s="58" t="str"/>
      <x:c r="K77" s="58" t="str"/>
      <x:c r="L77" s="58" t="str"/>
      <x:c r="M77" s="58" t="str"/>
      <x:c r="N77" s="134" t="str"/>
    </x:row>
    <x:row r="78">
      <x:c r="A78" s="57" t="str"/>
      <x:c r="B78" s="58" t="str"/>
      <x:c r="C78" s="133" t="str"/>
      <x:c r="D78" s="58" t="str"/>
      <x:c r="E78" s="58" t="str"/>
      <x:c r="F78" s="58" t="str"/>
      <x:c r="G78" s="58" t="str"/>
      <x:c r="H78" s="58" t="str"/>
      <x:c r="I78" s="58" t="str"/>
      <x:c r="J78" s="58" t="str"/>
      <x:c r="K78" s="58" t="str"/>
      <x:c r="L78" s="58" t="str"/>
      <x:c r="M78" s="58" t="str"/>
      <x:c r="N78" s="134" t="str"/>
    </x:row>
    <x:row r="79">
      <x:c r="A79" s="57" t="str"/>
      <x:c r="B79" s="58" t="str"/>
      <x:c r="C79" s="133" t="str"/>
      <x:c r="D79" s="58" t="str"/>
      <x:c r="E79" s="58" t="str"/>
      <x:c r="F79" s="58" t="str"/>
      <x:c r="G79" s="58" t="str"/>
      <x:c r="H79" s="58" t="str"/>
      <x:c r="I79" s="58" t="str"/>
      <x:c r="J79" s="58" t="str"/>
      <x:c r="K79" s="58" t="str"/>
      <x:c r="L79" s="58" t="str"/>
      <x:c r="M79" s="58" t="str"/>
      <x:c r="N79" s="134" t="str"/>
    </x:row>
    <x:row r="80">
      <x:c r="A80" s="57" t="str"/>
      <x:c r="B80" s="58" t="str"/>
      <x:c r="C80" s="133" t="str"/>
      <x:c r="D80" s="58" t="str"/>
      <x:c r="E80" s="58" t="str"/>
      <x:c r="F80" s="58" t="str"/>
      <x:c r="G80" s="58" t="str"/>
      <x:c r="H80" s="58" t="str"/>
      <x:c r="I80" s="58" t="str"/>
      <x:c r="J80" s="58" t="str"/>
      <x:c r="K80" s="58" t="str"/>
      <x:c r="L80" s="58" t="str"/>
      <x:c r="M80" s="58" t="str"/>
      <x:c r="N80" s="134" t="str"/>
    </x:row>
    <x:row r="81">
      <x:c r="A81" s="57" t="str"/>
      <x:c r="B81" s="58" t="str"/>
      <x:c r="C81" s="133" t="str"/>
      <x:c r="D81" s="58" t="str"/>
      <x:c r="E81" s="58" t="str"/>
      <x:c r="F81" s="58" t="str"/>
      <x:c r="G81" s="58" t="str"/>
      <x:c r="H81" s="58" t="str"/>
      <x:c r="I81" s="58" t="str"/>
      <x:c r="J81" s="58" t="str"/>
      <x:c r="K81" s="58" t="str"/>
      <x:c r="L81" s="58" t="str"/>
      <x:c r="M81" s="58" t="str"/>
      <x:c r="N81" s="134" t="str"/>
    </x:row>
    <x:row r="82">
      <x:c r="A82" s="57" t="str"/>
      <x:c r="B82" s="58" t="str"/>
      <x:c r="C82" s="133" t="str"/>
      <x:c r="D82" s="58" t="str"/>
      <x:c r="E82" s="58" t="str"/>
      <x:c r="F82" s="58" t="str"/>
      <x:c r="G82" s="58" t="str"/>
      <x:c r="H82" s="58" t="str"/>
      <x:c r="I82" s="58" t="str"/>
      <x:c r="J82" s="58" t="str"/>
      <x:c r="K82" s="58" t="str"/>
      <x:c r="L82" s="58" t="str"/>
      <x:c r="M82" s="58" t="str"/>
      <x:c r="N82" s="134" t="str"/>
    </x:row>
    <x:row r="83">
      <x:c r="A83" s="57" t="str"/>
      <x:c r="B83" s="58" t="str"/>
      <x:c r="C83" s="133" t="str"/>
      <x:c r="D83" s="58" t="str"/>
      <x:c r="E83" s="58" t="str"/>
      <x:c r="F83" s="58" t="str"/>
      <x:c r="G83" s="58" t="str"/>
      <x:c r="H83" s="58" t="str"/>
      <x:c r="I83" s="58" t="str"/>
      <x:c r="J83" s="58" t="str"/>
      <x:c r="K83" s="58" t="str"/>
      <x:c r="L83" s="58" t="str"/>
      <x:c r="M83" s="58" t="str"/>
      <x:c r="N83" s="134" t="str"/>
    </x:row>
    <x:row r="84">
      <x:c r="A84" s="57" t="str"/>
      <x:c r="B84" s="58" t="str"/>
      <x:c r="C84" s="133" t="str"/>
      <x:c r="D84" s="58" t="str"/>
      <x:c r="E84" s="58" t="str"/>
      <x:c r="F84" s="58" t="str"/>
      <x:c r="G84" s="58" t="str"/>
      <x:c r="H84" s="58" t="str"/>
      <x:c r="I84" s="58" t="str"/>
      <x:c r="J84" s="58" t="str"/>
      <x:c r="K84" s="58" t="str"/>
      <x:c r="L84" s="58" t="str"/>
      <x:c r="M84" s="58" t="str"/>
      <x:c r="N84" s="134" t="str"/>
    </x:row>
    <x:row r="85">
      <x:c r="A85" s="57" t="str"/>
      <x:c r="B85" s="58" t="str"/>
      <x:c r="C85" s="133" t="str"/>
      <x:c r="D85" s="58" t="str"/>
      <x:c r="E85" s="58" t="str"/>
      <x:c r="F85" s="58" t="str"/>
      <x:c r="G85" s="58" t="str"/>
      <x:c r="H85" s="58" t="str"/>
      <x:c r="I85" s="58" t="str"/>
      <x:c r="J85" s="58" t="str"/>
      <x:c r="K85" s="58" t="str"/>
      <x:c r="L85" s="58" t="str"/>
      <x:c r="M85" s="58" t="str"/>
      <x:c r="N85" s="134" t="str"/>
    </x:row>
    <x:row r="86">
      <x:c r="A86" s="57" t="str"/>
      <x:c r="B86" s="58" t="str"/>
      <x:c r="C86" s="133" t="str"/>
      <x:c r="D86" s="58" t="str"/>
      <x:c r="E86" s="58" t="str"/>
      <x:c r="F86" s="58" t="str"/>
      <x:c r="G86" s="58" t="str"/>
      <x:c r="H86" s="58" t="str"/>
      <x:c r="I86" s="58" t="str"/>
      <x:c r="J86" s="58" t="str"/>
      <x:c r="K86" s="58" t="str"/>
      <x:c r="L86" s="58" t="str"/>
      <x:c r="M86" s="58" t="str"/>
      <x:c r="N86" s="134" t="str"/>
    </x:row>
    <x:row r="87">
      <x:c r="A87" s="57" t="str"/>
      <x:c r="B87" s="58" t="str"/>
      <x:c r="C87" s="133" t="str"/>
      <x:c r="D87" s="58" t="str"/>
      <x:c r="E87" s="58" t="str"/>
      <x:c r="F87" s="58" t="str"/>
      <x:c r="G87" s="58" t="str"/>
      <x:c r="H87" s="58" t="str"/>
      <x:c r="I87" s="58" t="str"/>
      <x:c r="J87" s="58" t="str"/>
      <x:c r="K87" s="58" t="str"/>
      <x:c r="L87" s="58" t="str"/>
      <x:c r="M87" s="58" t="str"/>
      <x:c r="N87" s="134" t="str"/>
    </x:row>
    <x:row r="88">
      <x:c r="A88" s="57" t="str"/>
      <x:c r="B88" s="58" t="str"/>
      <x:c r="C88" s="133" t="str"/>
      <x:c r="D88" s="58" t="str"/>
      <x:c r="E88" s="58" t="str"/>
      <x:c r="F88" s="58" t="str"/>
      <x:c r="G88" s="58" t="str"/>
      <x:c r="H88" s="58" t="str"/>
      <x:c r="I88" s="58" t="str"/>
      <x:c r="J88" s="58" t="str"/>
      <x:c r="K88" s="58" t="str"/>
      <x:c r="L88" s="58" t="str"/>
      <x:c r="M88" s="58" t="str"/>
      <x:c r="N88" s="134" t="str"/>
    </x:row>
    <x:row r="89">
      <x:c r="A89" s="57" t="str"/>
      <x:c r="B89" s="58" t="str"/>
      <x:c r="C89" s="133" t="str"/>
      <x:c r="D89" s="58" t="str"/>
      <x:c r="E89" s="58" t="str"/>
      <x:c r="F89" s="58" t="str"/>
      <x:c r="G89" s="58" t="str"/>
      <x:c r="H89" s="58" t="str"/>
      <x:c r="I89" s="58" t="str"/>
      <x:c r="J89" s="58" t="str"/>
      <x:c r="K89" s="58" t="str"/>
      <x:c r="L89" s="58" t="str"/>
      <x:c r="M89" s="58" t="str"/>
      <x:c r="N89" s="134" t="str"/>
    </x:row>
    <x:row r="90">
      <x:c r="A90" s="57" t="str"/>
      <x:c r="B90" s="58" t="str"/>
      <x:c r="C90" s="133" t="str"/>
      <x:c r="D90" s="58" t="str"/>
      <x:c r="E90" s="58" t="str"/>
      <x:c r="F90" s="58" t="str"/>
      <x:c r="G90" s="58" t="str"/>
      <x:c r="H90" s="58" t="str"/>
      <x:c r="I90" s="58" t="str"/>
      <x:c r="J90" s="58" t="str"/>
      <x:c r="K90" s="58" t="str"/>
      <x:c r="L90" s="58" t="str"/>
      <x:c r="M90" s="58" t="str"/>
      <x:c r="N90" s="134" t="str"/>
    </x:row>
    <x:row r="91">
      <x:c r="A91" s="57" t="str"/>
      <x:c r="B91" s="58" t="str"/>
      <x:c r="C91" s="133" t="str"/>
      <x:c r="D91" s="58" t="str"/>
      <x:c r="E91" s="58" t="str"/>
      <x:c r="F91" s="58" t="str"/>
      <x:c r="G91" s="58" t="str"/>
      <x:c r="H91" s="58" t="str"/>
      <x:c r="I91" s="58" t="str"/>
      <x:c r="J91" s="58" t="str"/>
      <x:c r="K91" s="58" t="str"/>
      <x:c r="L91" s="58" t="str"/>
      <x:c r="M91" s="58" t="str"/>
      <x:c r="N91" s="134" t="str"/>
    </x:row>
    <x:row r="92">
      <x:c r="A92" s="57" t="str"/>
      <x:c r="B92" s="58" t="str"/>
      <x:c r="C92" s="133" t="str"/>
      <x:c r="D92" s="58" t="str"/>
      <x:c r="E92" s="58" t="str"/>
      <x:c r="F92" s="58" t="str"/>
      <x:c r="G92" s="58" t="str"/>
      <x:c r="H92" s="58" t="str"/>
      <x:c r="I92" s="58" t="str"/>
      <x:c r="J92" s="58" t="str"/>
      <x:c r="K92" s="58" t="str"/>
      <x:c r="L92" s="58" t="str"/>
      <x:c r="M92" s="58" t="str"/>
      <x:c r="N92" s="134" t="str"/>
    </x:row>
    <x:row r="93">
      <x:c r="A93" s="57" t="str"/>
      <x:c r="B93" s="58" t="str"/>
      <x:c r="C93" s="133" t="str"/>
      <x:c r="D93" s="58" t="str"/>
      <x:c r="E93" s="58" t="str"/>
      <x:c r="F93" s="58" t="str"/>
      <x:c r="G93" s="58" t="str"/>
      <x:c r="H93" s="58" t="str"/>
      <x:c r="I93" s="58" t="str"/>
      <x:c r="J93" s="58" t="str"/>
      <x:c r="K93" s="58" t="str"/>
      <x:c r="L93" s="58" t="str"/>
      <x:c r="M93" s="58" t="str"/>
      <x:c r="N93" s="134" t="str"/>
    </x:row>
    <x:row r="94">
      <x:c r="A94" s="57" t="str"/>
      <x:c r="B94" s="58" t="str"/>
      <x:c r="C94" s="133" t="str"/>
      <x:c r="D94" s="58" t="str"/>
      <x:c r="E94" s="58" t="str"/>
      <x:c r="F94" s="58" t="str"/>
      <x:c r="G94" s="58" t="str"/>
      <x:c r="H94" s="58" t="str"/>
      <x:c r="I94" s="58" t="str"/>
      <x:c r="J94" s="58" t="str"/>
      <x:c r="K94" s="58" t="str"/>
      <x:c r="L94" s="58" t="str"/>
      <x:c r="M94" s="58" t="str"/>
      <x:c r="N94" s="134" t="str"/>
    </x:row>
    <x:row r="95">
      <x:c r="A95" s="57" t="str"/>
      <x:c r="B95" s="58" t="str"/>
      <x:c r="C95" s="133" t="str"/>
      <x:c r="D95" s="58" t="str"/>
      <x:c r="E95" s="58" t="str"/>
      <x:c r="F95" s="58" t="str"/>
      <x:c r="G95" s="58" t="str"/>
      <x:c r="H95" s="58" t="str"/>
      <x:c r="I95" s="58" t="str"/>
      <x:c r="J95" s="58" t="str"/>
      <x:c r="K95" s="58" t="str"/>
      <x:c r="L95" s="58" t="str"/>
      <x:c r="M95" s="58" t="str"/>
      <x:c r="N95" s="134" t="str"/>
    </x:row>
    <x:row r="96">
      <x:c r="A96" s="57" t="str"/>
      <x:c r="B96" s="58" t="str"/>
      <x:c r="C96" s="133" t="str"/>
      <x:c r="D96" s="58" t="str"/>
      <x:c r="E96" s="58" t="str"/>
      <x:c r="F96" s="58" t="str"/>
      <x:c r="G96" s="58" t="str"/>
      <x:c r="H96" s="58" t="str"/>
      <x:c r="I96" s="58" t="str"/>
      <x:c r="J96" s="58" t="str"/>
      <x:c r="K96" s="58" t="str"/>
      <x:c r="L96" s="58" t="str"/>
      <x:c r="M96" s="58" t="str"/>
      <x:c r="N96" s="134" t="str"/>
    </x:row>
    <x:row r="97">
      <x:c r="A97" s="57" t="str"/>
      <x:c r="B97" s="58" t="str"/>
      <x:c r="C97" s="133" t="str"/>
      <x:c r="D97" s="58" t="str"/>
      <x:c r="E97" s="58" t="str"/>
      <x:c r="F97" s="58" t="str"/>
      <x:c r="G97" s="58" t="str"/>
      <x:c r="H97" s="58" t="str"/>
      <x:c r="I97" s="58" t="str"/>
      <x:c r="J97" s="58" t="str"/>
      <x:c r="K97" s="58" t="str"/>
      <x:c r="L97" s="58" t="str"/>
      <x:c r="M97" s="58" t="str"/>
      <x:c r="N97" s="134" t="str"/>
    </x:row>
    <x:row r="98">
      <x:c r="A98" s="57" t="str"/>
      <x:c r="B98" s="58" t="str"/>
      <x:c r="C98" s="133" t="str"/>
      <x:c r="D98" s="58" t="str"/>
      <x:c r="E98" s="58" t="str"/>
      <x:c r="F98" s="58" t="str"/>
      <x:c r="G98" s="58" t="str"/>
      <x:c r="H98" s="58" t="str"/>
      <x:c r="I98" s="58" t="str"/>
      <x:c r="J98" s="58" t="str"/>
      <x:c r="K98" s="58" t="str"/>
      <x:c r="L98" s="58" t="str"/>
      <x:c r="M98" s="58" t="str"/>
      <x:c r="N98" s="134" t="str"/>
    </x:row>
    <x:row r="99">
      <x:c r="A99" s="57" t="str"/>
      <x:c r="B99" s="58" t="str"/>
      <x:c r="C99" s="133" t="str"/>
      <x:c r="D99" s="58" t="str"/>
      <x:c r="E99" s="58" t="str"/>
      <x:c r="F99" s="58" t="str"/>
      <x:c r="G99" s="58" t="str"/>
      <x:c r="H99" s="58" t="str"/>
      <x:c r="I99" s="58" t="str"/>
      <x:c r="J99" s="58" t="str"/>
      <x:c r="K99" s="58" t="str"/>
      <x:c r="L99" s="58" t="str"/>
      <x:c r="M99" s="58" t="str"/>
      <x:c r="N99" s="134" t="str"/>
    </x:row>
    <x:row r="100">
      <x:c r="A100" s="57" t="str"/>
      <x:c r="B100" s="58" t="str"/>
      <x:c r="C100" s="133" t="str"/>
      <x:c r="D100" s="58" t="str"/>
      <x:c r="E100" s="58" t="str"/>
      <x:c r="F100" s="58" t="str"/>
      <x:c r="G100" s="58" t="str"/>
      <x:c r="H100" s="58" t="str"/>
      <x:c r="I100" s="58" t="str"/>
      <x:c r="J100" s="58" t="str"/>
      <x:c r="K100" s="58" t="str"/>
      <x:c r="L100" s="58" t="str"/>
      <x:c r="M100" s="58" t="str"/>
      <x:c r="N100" s="134" t="str"/>
    </x:row>
    <x:row r="101">
      <x:c r="A101" s="57" t="str"/>
      <x:c r="B101" s="58" t="str"/>
      <x:c r="C101" s="133" t="str"/>
      <x:c r="D101" s="58" t="str"/>
      <x:c r="E101" s="58" t="str"/>
      <x:c r="F101" s="58" t="str"/>
      <x:c r="G101" s="58" t="str"/>
      <x:c r="H101" s="58" t="str"/>
      <x:c r="I101" s="58" t="str"/>
      <x:c r="J101" s="58" t="str"/>
      <x:c r="K101" s="58" t="str"/>
      <x:c r="L101" s="58" t="str"/>
      <x:c r="M101" s="58" t="str"/>
      <x:c r="N101" s="134" t="str"/>
    </x:row>
    <x:row r="102">
      <x:c r="A102" s="57" t="str"/>
      <x:c r="B102" s="58" t="str"/>
      <x:c r="C102" s="133" t="str"/>
      <x:c r="D102" s="58" t="str"/>
      <x:c r="E102" s="58" t="str"/>
      <x:c r="F102" s="58" t="str"/>
      <x:c r="G102" s="58" t="str"/>
      <x:c r="H102" s="58" t="str"/>
      <x:c r="I102" s="58" t="str"/>
      <x:c r="J102" s="58" t="str"/>
      <x:c r="K102" s="58" t="str"/>
      <x:c r="L102" s="58" t="str"/>
      <x:c r="M102" s="58" t="str"/>
      <x:c r="N102" s="134" t="str"/>
    </x:row>
    <x:row r="103">
      <x:c r="A103" s="60" t="str"/>
      <x:c r="B103" s="61" t="str"/>
      <x:c r="C103" s="135" t="str"/>
      <x:c r="D103" s="61" t="str"/>
      <x:c r="E103" s="61" t="str"/>
      <x:c r="F103" s="61" t="str"/>
      <x:c r="G103" s="61" t="str"/>
      <x:c r="H103" s="61" t="str"/>
      <x:c r="I103" s="61" t="str"/>
      <x:c r="J103" s="61" t="str"/>
      <x:c r="K103" s="61" t="str"/>
      <x:c r="L103" s="61" t="str"/>
      <x:c r="M103" s="61" t="str"/>
      <x:c r="N103" s="136" t="str"/>
    </x:row>
  </x:sheetData>
  <x:mergeCells>
    <x:mergeCell ref="A2:N2"/>
    <x:mergeCell ref="A1:N1"/>
  </x:mergeCells>
  <x:dataValidations count="5">
    <x:dataValidation type="list" allowBlank="0" showDropDown="0" showInputMessage="0" showErrorMessage="0" sqref="D4:D103">
      <x:formula1>"Controlled,Open"</x:formula1>
    </x:dataValidation>
    <x:dataValidation type="list" allowBlank="0" showDropDown="0" showInputMessage="0" showErrorMessage="0" sqref="E4:E103">
      <x:formula1>"Lane 1,Lane 2A,Lane 2B,Lane 3"</x:formula1>
    </x:dataValidation>
    <x:dataValidation type="list" allowBlank="0" showDropDown="0" showInputMessage="0" showErrorMessage="0" sqref="F4:F103">
      <x:formula1>"In-person,Invigilated remote,Open remote,Workplace / practicum,Asynchronous,Other"</x:formula1>
    </x:dataValidation>
    <x:dataValidation type="list" allowBlank="0" showDropDown="0" showInputMessage="0" showErrorMessage="0" sqref="G4:G103">
      <x:formula1>"Artifact quality,Independent capability,Present demonstrable competence,Production provenance / unaided authorship,AI-integrated capability,Non-certifying learning support"</x:formula1>
    </x:dataValidation>
    <x:dataValidation type="list" allowBlank="0" showDropDown="0" showInputMessage="0" showErrorMessage="0" sqref="M4:M103">
      <x:formula1>"Not mapped,Specified,Specified but untested,Piloted,Validated for scope,Expired / requalification required"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8" style="40" customWidth="1"/>
    <x:col min="2" max="2" width="18" style="40" customWidth="1"/>
    <x:col min="3" max="3" width="19" style="40" customWidth="1"/>
    <x:col min="4" max="4" width="29" style="40" customWidth="1"/>
    <x:col min="5" max="5" width="42" style="40" customWidth="1"/>
    <x:col min="6" max="6" width="44" style="40" customWidth="1"/>
  </x:cols>
  <x:sheetData>
    <x:row r="1" s="40" customFormat="1" ht="28" customHeight="1">
      <x:c r="A1" s="129" t="inlineStr">
        <x:is>
          <x:t xml:space="preserve">Programme Assurance Composition</x:t>
        </x:is>
      </x:c>
      <x:c r="B1" s="70" t="n"/>
      <x:c r="C1" s="70" t="n"/>
      <x:c r="D1" s="70" t="n"/>
      <x:c r="E1" s="70" t="n"/>
      <x:c r="F1" s="70" t="n"/>
    </x:row>
    <x:row r="3">
      <x:c r="A3" s="20" t="inlineStr">
        <x:is>
          <x:t xml:space="preserve">Assurance route / operational routing value</x:t>
        </x:is>
      </x:c>
      <x:c r="B3" s="21" t="inlineStr">
        <x:is>
          <x:t xml:space="preserve">Total credit / weight</x:t>
        </x:is>
      </x:c>
      <x:c r="C3" s="21" t="inlineStr">
        <x:is>
          <x:t xml:space="preserve">Share of mapped total</x:t>
        </x:is>
      </x:c>
      <x:c r="D3" s="21" t="inlineStr">
        <x:is>
          <x:t xml:space="preserve">Person-attributable warrant?</x:t>
        </x:is>
      </x:c>
      <x:c r="E3" s="21" t="inlineStr">
        <x:is>
          <x:t xml:space="preserve">Interpretive boundary</x:t>
        </x:is>
      </x:c>
      <x:c r="F3" s="22" t="inlineStr">
        <x:is>
          <x:t xml:space="preserve">Required justification</x:t>
        </x:is>
      </x:c>
    </x:row>
    <x:row r="4">
      <x:c r="A4" s="54" t="inlineStr">
        <x:is>
          <x:t xml:space="preserve">Lane 1 / independent capability</x:t>
        </x:is>
      </x:c>
      <x:c r="B4" s="131" t="n">
        <x:f>SUMIF('Programme Map'!E4:E103,"Lane 1",'Programme Map'!C4:C103)</x:f>
        <x:v>10</x:v>
      </x:c>
      <x:c r="C4" s="137" t="n">
        <x:f>IF($B$8=0,0,B4/$B$8)</x:f>
        <x:v>0.14285714285714285</x:v>
      </x:c>
      <x:c r="D4" s="55" t="inlineStr">
        <x:is>
          <x:t xml:space="preserve">Yes, bounded by control quality</x:t>
        </x:is>
      </x:c>
      <x:c r="E4" s="55" t="inlineStr">
        <x:is>
          <x:t xml:space="preserve">Does not prove absolute unaidedness or complete provenance.</x:t>
        </x:is>
      </x:c>
      <x:c r="F4" s="56" t="inlineStr">
        <x:is>
          <x:t xml:space="preserve">Why materially constrained performance is required.</x:t>
        </x:is>
      </x:c>
    </x:row>
    <x:row r="5">
      <x:c r="A5" s="57" t="inlineStr">
        <x:is>
          <x:t xml:space="preserve">Lane 2A / present demonstrable competence</x:t>
        </x:is>
      </x:c>
      <x:c r="B5" s="133" t="n">
        <x:f>SUMIF('Programme Map'!E4:E103,"Lane 2A",'Programme Map'!C4:C103)</x:f>
        <x:v>20</x:v>
      </x:c>
      <x:c r="C5" s="138" t="n">
        <x:f>IF($B$8=0,0,B5/$B$8)</x:f>
        <x:v>0.2857142857142857</x:v>
      </x:c>
      <x:c r="D5" s="58" t="inlineStr">
        <x:is>
          <x:t xml:space="preserve">Yes, for declared competence profile</x:t>
        </x:is>
      </x:c>
      <x:c r="E5" s="58" t="inlineStr">
        <x:is>
          <x:t xml:space="preserve">Does not reconstruct production history.</x:t>
        </x:is>
      </x:c>
      <x:c r="F5" s="59" t="inlineStr">
        <x:is>
          <x:t xml:space="preserve">Which of explain / defend / verify / adapt / transfer are load-bearing.</x:t>
        </x:is>
      </x:c>
    </x:row>
    <x:row r="6">
      <x:c r="A6" s="57" t="inlineStr">
        <x:is>
          <x:t xml:space="preserve">Lane 3 / AI-integrated capability</x:t>
        </x:is>
      </x:c>
      <x:c r="B6" s="133" t="n">
        <x:f>SUMIF('Programme Map'!E4:E103,"Lane 3",'Programme Map'!C4:C103)</x:f>
        <x:v>30</x:v>
      </x:c>
      <x:c r="C6" s="138" t="n">
        <x:f>IF($B$8=0,0,B6/$B$8)</x:f>
        <x:v>0.42857142857142855</x:v>
      </x:c>
      <x:c r="D6" s="58" t="inlineStr">
        <x:is>
          <x:t xml:space="preserve">Yes, for named human judgement and control</x:t>
        </x:is>
      </x:c>
      <x:c r="E6" s="58" t="inlineStr">
        <x:is>
          <x:t xml:space="preserve">Does not establish unaided production.</x:t>
        </x:is>
      </x:c>
      <x:c r="F6" s="59" t="inlineStr">
        <x:is>
          <x:t xml:space="preserve">Why AI-mediated practice is part of the construct.</x:t>
        </x:is>
      </x:c>
    </x:row>
    <x:row r="7">
      <x:c r="A7" s="57" t="inlineStr">
        <x:is>
          <x:t xml:space="preserve">Lane 2B / non-certifying</x:t>
        </x:is>
      </x:c>
      <x:c r="B7" s="133" t="n">
        <x:f>SUMIF('Programme Map'!E4:E103,"Lane 2B",'Programme Map'!C4:C103)</x:f>
        <x:v>10</x:v>
      </x:c>
      <x:c r="C7" s="138" t="n">
        <x:f>IF($B$8=0,0,B7/$B$8)</x:f>
        <x:v>0.14285714285714285</x:v>
      </x:c>
      <x:c r="D7" s="58" t="inlineStr">
        <x:is>
          <x:t xml:space="preserve">No primary certification here</x:t>
        </x:is>
      </x:c>
      <x:c r="E7" s="58" t="inlineStr">
        <x:is>
          <x:t xml:space="preserve">Cannot silently become progression or award evidence.</x:t>
        </x:is>
      </x:c>
      <x:c r="F7" s="59" t="inlineStr">
        <x:is>
          <x:t xml:space="preserve">Where the corresponding capability is assured elsewhere.</x:t>
        </x:is>
      </x:c>
    </x:row>
    <x:row r="8">
      <x:c r="A8" s="107" t="inlineStr">
        <x:is>
          <x:t xml:space="preserve">Total mapped weight</x:t>
        </x:is>
      </x:c>
      <x:c r="B8" s="139" t="n">
        <x:f>SUM(B4:B7)</x:f>
        <x:v>70</x:v>
      </x:c>
      <x:c r="C8" s="140" t="n">
        <x:f>SUM(C4:C7)</x:f>
        <x:v>1</x:v>
      </x:c>
      <x:c r="D8" s="108" t="str"/>
      <x:c r="E8" s="108" t="str"/>
      <x:c r="F8" s="109" t="str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eb8fe24efa2e440e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4" style="40" customWidth="1"/>
    <x:col min="2" max="2" width="55" style="40" customWidth="1"/>
    <x:col min="3" max="3" width="48" style="40" customWidth="1"/>
  </x:cols>
  <x:sheetData>
    <x:row r="1" s="40" customFormat="1" ht="28" customHeight="1">
      <x:c r="A1" s="129" t="inlineStr">
        <x:is>
          <x:t xml:space="preserve">Interpretive Definitions</x:t>
        </x:is>
      </x:c>
      <x:c r="B1" s="70" t="n"/>
      <x:c r="C1" s="70" t="n"/>
    </x:row>
    <x:row r="3">
      <x:c r="A3" s="20" t="inlineStr">
        <x:is>
          <x:t xml:space="preserve">Term</x:t>
        </x:is>
      </x:c>
      <x:c r="B3" s="21" t="inlineStr">
        <x:is>
          <x:t xml:space="preserve">Definition</x:t>
        </x:is>
      </x:c>
      <x:c r="C3" s="22" t="inlineStr">
        <x:is>
          <x:t xml:space="preserve">Do not infer</x:t>
        </x:is>
      </x:c>
    </x:row>
    <x:row r="4">
      <x:c r="A4" s="54" t="inlineStr">
        <x:is>
          <x:t xml:space="preserve">Assurance composition</x:t>
        </x:is>
      </x:c>
      <x:c r="B4" s="55" t="inlineStr">
        <x:is>
          <x:t xml:space="preserve">The proportion of mapped credit or decision weight carried by each assurance route and certification object.</x:t>
        </x:is>
      </x:c>
      <x:c r="C4" s="56" t="inlineStr">
        <x:is>
          <x:t xml:space="preserve">That larger percentage equals higher quality.</x:t>
        </x:is>
      </x:c>
    </x:row>
    <x:row r="5">
      <x:c r="A5" s="57" t="inlineStr">
        <x:is>
          <x:t xml:space="preserve">Person-attributable warrant</x:t>
        </x:is>
      </x:c>
      <x:c r="B5" s="58" t="inlineStr">
        <x:is>
          <x:t xml:space="preserve">Evidence supporting a claim about the enrolled student rather than only the artifact or workflow.</x:t>
        </x:is>
      </x:c>
      <x:c r="C5" s="59" t="inlineStr">
        <x:is>
          <x:t xml:space="preserve">Complete production provenance unless separately evidenced.</x:t>
        </x:is>
      </x:c>
    </x:row>
    <x:row r="6">
      <x:c r="A6" s="57" t="inlineStr">
        <x:is>
          <x:t xml:space="preserve">Present demonstrable competence</x:t>
        </x:is>
      </x:c>
      <x:c r="B6" s="58" t="inlineStr">
        <x:is>
          <x:t xml:space="preserve">A declared profile of explain, defend, verify, adapt, and transfer; programmes name which are load-bearing.</x:t>
        </x:is>
      </x:c>
      <x:c r="C6" s="59" t="inlineStr">
        <x:is>
          <x:t xml:space="preserve">A single latent trait until dimensionality is demonstrated.</x:t>
        </x:is>
      </x:c>
    </x:row>
    <x:row r="7">
      <x:c r="A7" s="57" t="inlineStr">
        <x:is>
          <x:t xml:space="preserve">Independent capability</x:t>
        </x:is>
      </x:c>
      <x:c r="B7" s="58" t="inlineStr">
        <x:is>
          <x:t xml:space="preserve">Capability demonstrated under materially constrained conditions adequate for the claim.</x:t>
        </x:is>
      </x:c>
      <x:c r="C7" s="59" t="inlineStr">
        <x:is>
          <x:t xml:space="preserve">Absolute assistance-free performance.</x:t>
        </x:is>
      </x:c>
    </x:row>
    <x:row r="8">
      <x:c r="A8" s="57" t="inlineStr">
        <x:is>
          <x:t xml:space="preserve">AI-integrated capability</x:t>
        </x:is>
      </x:c>
      <x:c r="B8" s="58" t="inlineStr">
        <x:is>
          <x:t xml:space="preserve">Accountable AI-mediated judgement, verification, correction, control, transfer, and responsibility.</x:t>
        </x:is>
      </x:c>
      <x:c r="C8" s="59" t="inlineStr">
        <x:is>
          <x:t xml:space="preserve">Unaided human production.</x:t>
        </x:is>
      </x:c>
    </x:row>
    <x:row r="9">
      <x:c r="A9" s="60" t="inlineStr">
        <x:is>
          <x:t xml:space="preserve">Lane 2B</x:t>
        </x:is>
      </x:c>
      <x:c r="B9" s="61" t="inlineStr">
        <x:is>
          <x:t xml:space="preserve">Learning, feedback, practice, or triangulation without primary certification in the present task.</x:t>
        </x:is>
      </x:c>
      <x:c r="C9" s="62" t="inlineStr">
        <x:is>
          <x:t xml:space="preserve">That accumulated low-stakes work can silently become a degree claim.</x:t>
        </x:is>
      </x:c>
    </x:row>
    <x:row r="10" s="40" customFormat="1" ht="48" customHeight="1">
      <x:c r="A10" s="49" t="inlineStr">
        <x:is>
          <x:t xml:space="preserve">Positive assurance objects</x:t>
        </x:is>
      </x:c>
      <x:c r="B10" s="49" t="inlineStr">
        <x:is>
          <x:t xml:space="preserve">Artifact quality; present demonstrable competence; production provenance or unaided authorship; AI-integrated capability.</x:t>
        </x:is>
      </x:c>
      <x:c r="C10" s="49" t="inlineStr">
        <x:is>
          <x:t xml:space="preserve">That Lane 1 and Lane 2B create fifth and sixth positive objects.</x:t>
        </x:is>
      </x:c>
    </x:row>
    <x:row r="11" s="40" customFormat="1" ht="48" customHeight="1">
      <x:c r="A11" s="49" t="inlineStr">
        <x:is>
          <x:t xml:space="preserve">Operational routing values</x:t>
        </x:is>
      </x:c>
      <x:c r="B11" s="49" t="inlineStr">
        <x:is>
          <x:t xml:space="preserve">Lane 1 may encode independent capability as a condition-qualified form of present demonstrable competence; Lane 2B may encode non-certifying learning support as a claim-status value.</x:t>
        </x:is>
      </x:c>
      <x:c r="C11" s="49" t="inlineStr">
        <x:is>
          <x:t xml:space="preserve">That a routing value is interchangeable with a positive assurance object or licenses a broader public claim.</x:t>
        </x:is>
      </x:c>
    </x:row>
  </x:sheetData>
  <x:mergeCells>
    <x:mergeCell ref="A1:C1"/>
  </x:mergeCells>
  <x:pageMargins left="0.7" right="0.7" top="0.75" bottom="0.75" header="0.3" footer="0.3"/>
</x:worksheet>
</file>