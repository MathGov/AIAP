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205fd5a8d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rance Capacity Gate" sheetId="1" r:id="R30b570bc45c74a60"/>
    <x:sheet xmlns:r="http://schemas.openxmlformats.org/officeDocument/2006/relationships" name="Capacity Degradation" sheetId="2" r:id="Rf1854321eec041f5"/>
    <x:sheet xmlns:r="http://schemas.openxmlformats.org/officeDocument/2006/relationships" name="Guidance" sheetId="3" r:id="R53ada50d7124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3"/>
  </x:cellStyleXfs>
  <x:cellXfs count="12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3" fillId="2" borderId="0" xfId="0"/>
    <x:xf numFmtId="0" fontId="3" fillId="2" borderId="2" xfId="0"/>
    <x:xf numFmtId="0" fontId="3" fillId="2" borderId="3" xfId="0"/>
    <x:xf numFmtId="0" fontId="3" fillId="2" borderId="4" xfId="0"/>
    <x:xf numFmtId="0" fontId="3" fillId="2" borderId="2" xfId="0" applyAlignment="1">
      <x:alignment wrapText="1"/>
    </x:xf>
    <x:xf numFmtId="0" fontId="3" fillId="2" borderId="3" xfId="0" applyAlignment="1">
      <x:alignment wrapText="1"/>
    </x:xf>
    <x:xf numFmtId="0" fontId="3" fillId="2" borderId="4" xfId="0" applyAlignment="1">
      <x:alignment wrapText="1"/>
    </x:xf>
    <x:xf numFmtId="0" fontId="3" fillId="2" borderId="2" xfId="0" applyAlignment="1">
      <x:alignment horizontal="center" wrapText="1"/>
    </x:xf>
    <x:xf numFmtId="0" fontId="3" fillId="2" borderId="3" xfId="0" applyAlignment="1">
      <x:alignment horizontal="center" wrapText="1"/>
    </x:xf>
    <x:xf numFmtId="0" fontId="3" fillId="2" borderId="4" xfId="0" applyAlignment="1">
      <x:alignment horizont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3" fillId="2" borderId="4" xfId="0" applyAlignment="1">
      <x:alignment horizontal="center" vertical="center" wrapText="1"/>
    </x:xf>
    <x:xf numFmtId="0" fontId="3" fillId="2" borderId="1" xfId="0"/>
    <x:xf numFmtId="0" fontId="3" fillId="2" borderId="5" xfId="0"/>
    <x:xf numFmtId="0" fontId="3" fillId="2" borderId="6" xfId="0"/>
    <x:xf numFmtId="0" fontId="3" fillId="2" borderId="7" xfId="0"/>
    <x:xf numFmtId="0" fontId="3" fillId="2" borderId="5" xfId="0" applyAlignment="1">
      <x:alignment wrapText="1"/>
    </x:xf>
    <x:xf numFmtId="0" fontId="3" fillId="2" borderId="6" xfId="0" applyAlignment="1">
      <x:alignment wrapText="1"/>
    </x:xf>
    <x:xf numFmtId="0" fontId="3" fillId="2" borderId="7" xfId="0" applyAlignment="1">
      <x:alignment wrapText="1"/>
    </x:xf>
    <x:xf numFmtId="0" fontId="3" fillId="2" borderId="5" xfId="0" applyAlignment="1">
      <x:alignment horizontal="center" wrapText="1"/>
    </x:xf>
    <x:xf numFmtId="0" fontId="3" fillId="2" borderId="6" xfId="0" applyAlignment="1">
      <x:alignment horizontal="center" wrapText="1"/>
    </x:xf>
    <x:xf numFmtId="0" fontId="3" fillId="2" borderId="7" xfId="0" applyAlignment="1">
      <x:alignment horizontal="center" wrapText="1"/>
    </x:xf>
    <x:xf numFmtId="0" fontId="3" fillId="2" borderId="5" xfId="0" applyAlignment="1">
      <x:alignment horizontal="center" vertical="center" wrapText="1"/>
    </x:xf>
    <x:xf numFmtId="0" fontId="3" fillId="2" borderId="6" xfId="0" applyAlignment="1">
      <x:alignment horizontal="center" vertical="center" wrapText="1"/>
    </x:xf>
    <x:xf numFmtId="0" fontId="3" fillId="2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0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0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1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4" borderId="9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4" xfId="0" applyAlignment="1">
      <x:alignment vertical="top" wrapText="1"/>
    </x:xf>
    <x:xf numFmtId="0" fontId="0" fillId="4" borderId="17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4" borderId="22" xfId="0" applyAlignment="1">
      <x:alignment vertical="top" wrapText="1"/>
    </x:xf>
    <x:xf numFmtId="164" fontId="0" fillId="0" borderId="9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4" xfId="0" applyAlignment="1">
      <x:alignment vertical="top" wrapText="1"/>
    </x:xf>
    <x:xf numFmtId="164" fontId="0" fillId="0" borderId="17" xfId="0" applyAlignment="1">
      <x:alignment vertical="top" wrapText="1"/>
    </x:xf>
    <x:xf numFmtId="164" fontId="0" fillId="0" borderId="1" xfId="0" applyAlignment="1">
      <x:alignment vertical="top" wrapText="1"/>
    </x:xf>
    <x:xf numFmtId="164" fontId="0" fillId="0" borderId="22" xfId="0" applyAlignment="1">
      <x:alignment vertical="top" wrapText="1"/>
    </x:xf>
    <x:xf numFmtId="0" fontId="0" fillId="5" borderId="0" xfId="0"/>
    <x:xf numFmtId="0" fontId="2" fillId="5" borderId="0" xfId="0"/>
    <x:xf numFmtId="0" fontId="2" fillId="5" borderId="0" xfId="0" applyAlignment="1">
      <x:alignment horizontal="center"/>
    </x:xf>
    <x:xf numFmtId="0" fontId="0" fillId="5" borderId="1" xfId="0"/>
    <x:xf numFmtId="0" fontId="2" fillId="5" borderId="1" xfId="0"/>
    <x:xf numFmtId="0" fontId="2" fillId="5" borderId="1" xfId="0" applyAlignment="1">
      <x:alignment horizontal="center"/>
    </x:xf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1" fillId="2" borderId="23" xfId="0" applyAlignment="1">
      <x:alignment horizontal="left" vertical="center"/>
    </x:xf>
    <x:xf numFmtId="0" fontId="2" fillId="3" borderId="23" xfId="0" applyAlignment="1">
      <x:alignment wrapText="1"/>
    </x:xf>
    <x:xf numFmtId="164" fontId="0" fillId="0" borderId="9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4" xfId="0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2b13d68d841fc" /><Relationship Type="http://schemas.openxmlformats.org/officeDocument/2006/relationships/theme" Target="/xl/theme/theme1.xml" Id="R82023a4d395e49e8" /><Relationship Type="http://schemas.openxmlformats.org/officeDocument/2006/relationships/sharedStrings" Target="/xl/sharedStrings.xml" Id="Redded7caae294321" /><Relationship Type="http://schemas.openxmlformats.org/officeDocument/2006/relationships/worksheet" Target="/xl/worksheets/sheet1.xml" Id="R30b570bc45c74a60" /><Relationship Type="http://schemas.openxmlformats.org/officeDocument/2006/relationships/worksheet" Target="/xl/worksheets/sheet2.xml" Id="Rf1854321eec041f5" /><Relationship Type="http://schemas.openxmlformats.org/officeDocument/2006/relationships/worksheet" Target="/xl/worksheets/sheet3.xml" Id="R53ada50d712446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style="46" customWidth="1"/>
    <x:col min="2" max="2" width="34" style="46" customWidth="1"/>
    <x:col min="3" max="3" width="48" style="46" customWidth="1"/>
    <x:col min="4" max="4" width="20" style="46" customWidth="1"/>
    <x:col min="5" max="5" width="20" style="46" customWidth="1"/>
    <x:col min="6" max="6" width="14" style="46" customWidth="1"/>
    <x:col min="7" max="7" width="42" style="46" customWidth="1"/>
  </x:cols>
  <x:sheetData>
    <x:row r="1" s="46" customFormat="1" ht="28" customHeight="1">
      <x:c r="A1" s="116" t="inlineStr">
        <x:is>
          <x:t xml:space="preserve">AIAP Assurance Feasibility Model v6.5</x:t>
        </x:is>
      </x:c>
      <x:c r="B1" s="76" t="n"/>
      <x:c r="C1" s="76" t="n"/>
      <x:c r="D1" s="76" t="n"/>
      <x:c r="E1" s="76" t="n"/>
      <x:c r="F1" s="76" t="n"/>
      <x:c r="G1" s="76" t="n"/>
    </x:row>
    <x:row r="2">
      <x:c r="A2" s="117" t="inlineStr">
        <x:is>
          <x:t xml:space="preserve">All load-bearing prerequisites must pass. A favourable average cannot compensate for a failed gate.</x:t>
        </x:is>
      </x:c>
      <x:c r="B2" s="76" t="n"/>
      <x:c r="C2" s="76" t="n"/>
      <x:c r="D2" s="76" t="n"/>
      <x:c r="E2" s="76" t="n"/>
      <x:c r="F2" s="76" t="n"/>
      <x:c r="G2" s="76" t="n"/>
    </x:row>
    <x:row r="4">
      <x:c r="A4" s="26" t="inlineStr">
        <x:is>
          <x:t xml:space="preserve">Gate ID</x:t>
        </x:is>
      </x:c>
      <x:c r="B4" s="27" t="inlineStr">
        <x:is>
          <x:t xml:space="preserve">Prerequisite</x:t>
        </x:is>
      </x:c>
      <x:c r="C4" s="27" t="inlineStr">
        <x:is>
          <x:t xml:space="preserve">Required evidence</x:t>
        </x:is>
      </x:c>
      <x:c r="D4" s="27" t="inlineStr">
        <x:is>
          <x:t xml:space="preserve">Status</x:t>
        </x:is>
      </x:c>
      <x:c r="E4" s="27" t="inlineStr">
        <x:is>
          <x:t xml:space="preserve">Owner</x:t>
        </x:is>
      </x:c>
      <x:c r="F4" s="27" t="inlineStr">
        <x:is>
          <x:t xml:space="preserve">Review date</x:t>
        </x:is>
      </x:c>
      <x:c r="G4" s="28" t="inlineStr">
        <x:is>
          <x:t xml:space="preserve">Action if failed</x:t>
        </x:is>
      </x:c>
    </x:row>
    <x:row r="5">
      <x:c r="A5" s="60" t="inlineStr">
        <x:is>
          <x:t xml:space="preserve">G01</x:t>
        </x:is>
      </x:c>
      <x:c r="B5" s="61" t="inlineStr">
        <x:is>
          <x:t xml:space="preserve">Claim map approved</x:t>
        </x:is>
      </x:c>
      <x:c r="C5" s="61" t="inlineStr">
        <x:is>
          <x:t xml:space="preserve">Material claims, stakes, condition, lane, certification object, public wording</x:t>
        </x:is>
      </x:c>
      <x:c r="D5" s="95" t="inlineStr">
        <x:is>
          <x:t xml:space="preserve">Not assessed</x:t>
        </x:is>
      </x:c>
      <x:c r="E5" s="61" t="str"/>
      <x:c r="F5" s="118" t="str"/>
      <x:c r="G5" s="62" t="inlineStr">
        <x:is>
          <x:t xml:space="preserve">Pause design; complete claim decomposition.</x:t>
        </x:is>
      </x:c>
    </x:row>
    <x:row r="6">
      <x:c r="A6" s="63" t="inlineStr">
        <x:is>
          <x:t xml:space="preserve">G02</x:t>
        </x:is>
      </x:c>
      <x:c r="B6" s="64" t="inlineStr">
        <x:is>
          <x:t xml:space="preserve">Prompt security governed</x:t>
        </x:is>
      </x:c>
      <x:c r="C6" s="64" t="inlineStr">
        <x:is>
          <x:t xml:space="preserve">Declared bank/live-perturbation method, cohort, exposure window, allocation, rotation, retirement, monitoring</x:t>
        </x:is>
      </x:c>
      <x:c r="D6" s="96" t="inlineStr">
        <x:is>
          <x:t xml:space="preserve">Not assessed</x:t>
        </x:is>
      </x:c>
      <x:c r="E6" s="64" t="str"/>
      <x:c r="F6" s="119" t="str"/>
      <x:c r="G6" s="65" t="inlineStr">
        <x:is>
          <x:t xml:space="preserve">Redesign challenge; do not call it unseen.</x:t>
        </x:is>
      </x:c>
    </x:row>
    <x:row r="7">
      <x:c r="A7" s="63" t="inlineStr">
        <x:is>
          <x:t xml:space="preserve">G03</x:t>
        </x:is>
      </x:c>
      <x:c r="B7" s="64" t="inlineStr">
        <x:is>
          <x:t xml:space="preserve">Parallel-form equivalence supported</x:t>
        </x:is>
      </x:c>
      <x:c r="C7" s="64" t="inlineStr">
        <x:is>
          <x:t xml:space="preserve">Blueprint, content review, pilot statistics or bounded non-equivalence rationale</x:t>
        </x:is>
      </x:c>
      <x:c r="D7" s="96" t="inlineStr">
        <x:is>
          <x:t xml:space="preserve">Not assessed</x:t>
        </x:is>
      </x:c>
      <x:c r="E7" s="64" t="str"/>
      <x:c r="F7" s="119" t="str"/>
      <x:c r="G7" s="65" t="inlineStr">
        <x:is>
          <x:t xml:space="preserve">Narrow decision or use one equivalent live perturbation method.</x:t>
        </x:is>
      </x:c>
    </x:row>
    <x:row r="8">
      <x:c r="A8" s="63" t="inlineStr">
        <x:is>
          <x:t xml:space="preserve">G04</x:t>
        </x:is>
      </x:c>
      <x:c r="B8" s="64" t="inlineStr">
        <x:is>
          <x:t xml:space="preserve">Submission-authentication interval justified</x:t>
        </x:is>
      </x:c>
      <x:c r="C8" s="64" t="inlineStr">
        <x:is>
          <x:t xml:space="preserve">Recorded interval and rationale for present-competence inference</x:t>
        </x:is>
      </x:c>
      <x:c r="D8" s="96" t="inlineStr">
        <x:is>
          <x:t xml:space="preserve">Not assessed</x:t>
        </x:is>
      </x:c>
      <x:c r="E8" s="64" t="str"/>
      <x:c r="F8" s="119" t="str"/>
      <x:c r="G8" s="65" t="inlineStr">
        <x:is>
          <x:t xml:space="preserve">Shorten, justify, or narrow claim.</x:t>
        </x:is>
      </x:c>
    </x:row>
    <x:row r="9">
      <x:c r="A9" s="63" t="inlineStr">
        <x:is>
          <x:t xml:space="preserve">G05</x:t>
        </x:is>
      </x:c>
      <x:c r="B9" s="64" t="inlineStr">
        <x:is>
          <x:t xml:space="preserve">Assessor qualification and calibration</x:t>
        </x:is>
      </x:c>
      <x:c r="C9" s="64" t="inlineStr">
        <x:is>
          <x:t xml:space="preserve">Construct expertise, rubric calibration, accessibility/integrity competence, drift plan</x:t>
        </x:is>
      </x:c>
      <x:c r="D9" s="96" t="inlineStr">
        <x:is>
          <x:t xml:space="preserve">Not assessed</x:t>
        </x:is>
      </x:c>
      <x:c r="E9" s="64" t="str"/>
      <x:c r="F9" s="119" t="str"/>
      <x:c r="G9" s="65" t="inlineStr">
        <x:is>
          <x:t xml:space="preserve">Train/reassign; withhold affected claims.</x:t>
        </x:is>
      </x:c>
    </x:row>
    <x:row r="10">
      <x:c r="A10" s="63" t="inlineStr">
        <x:is>
          <x:t xml:space="preserve">G06</x:t>
        </x:is>
      </x:c>
      <x:c r="B10" s="64" t="inlineStr">
        <x:is>
          <x:t xml:space="preserve">Reviewer and panel capacity</x:t>
        </x:is>
      </x:c>
      <x:c r="C10" s="64" t="inlineStr">
        <x:is>
          <x:t xml:space="preserve">Required hours, throughput, reserve margin, calendar fit</x:t>
        </x:is>
      </x:c>
      <x:c r="D10" s="96" t="inlineStr">
        <x:is>
          <x:t xml:space="preserve">Not assessed</x:t>
        </x:is>
      </x:c>
      <x:c r="E10" s="64" t="str"/>
      <x:c r="F10" s="119" t="str"/>
      <x:c r="G10" s="65" t="inlineStr">
        <x:is>
          <x:t xml:space="preserve">Add resources, reschedule, narrow, or withhold.</x:t>
        </x:is>
      </x:c>
    </x:row>
    <x:row r="11">
      <x:c r="A11" s="63" t="inlineStr">
        <x:is>
          <x:t xml:space="preserve">G07</x:t>
        </x:is>
      </x:c>
      <x:c r="B11" s="64" t="inlineStr">
        <x:is>
          <x:t xml:space="preserve">Independence and conflicts controlled</x:t>
        </x:is>
      </x:c>
      <x:c r="C11" s="64" t="inlineStr">
        <x:is>
          <x:t xml:space="preserve">Roles, conflict declarations, independent review path</x:t>
        </x:is>
      </x:c>
      <x:c r="D11" s="96" t="inlineStr">
        <x:is>
          <x:t xml:space="preserve">Not assessed</x:t>
        </x:is>
      </x:c>
      <x:c r="E11" s="64" t="str"/>
      <x:c r="F11" s="119" t="str"/>
      <x:c r="G11" s="65" t="inlineStr">
        <x:is>
          <x:t xml:space="preserve">Recuse or redesign governance.</x:t>
        </x:is>
      </x:c>
    </x:row>
    <x:row r="12">
      <x:c r="A12" s="63" t="inlineStr">
        <x:is>
          <x:t xml:space="preserve">G08</x:t>
        </x:is>
      </x:c>
      <x:c r="B12" s="64" t="inlineStr">
        <x:is>
          <x:t xml:space="preserve">Accessibility-equivalent route operational</x:t>
        </x:is>
      </x:c>
      <x:c r="C12" s="64" t="inlineStr">
        <x:is>
          <x:t xml:space="preserve">Equivalent mechanism, criterion map, scheduling, student notice</x:t>
        </x:is>
      </x:c>
      <x:c r="D12" s="96" t="inlineStr">
        <x:is>
          <x:t xml:space="preserve">Not assessed</x:t>
        </x:is>
      </x:c>
      <x:c r="E12" s="64" t="str"/>
      <x:c r="F12" s="119" t="str"/>
      <x:c r="G12" s="65" t="inlineStr">
        <x:is>
          <x:t xml:space="preserve">Provide route or withhold/delay decision.</x:t>
        </x:is>
      </x:c>
    </x:row>
    <x:row r="13">
      <x:c r="A13" s="63" t="inlineStr">
        <x:is>
          <x:t xml:space="preserve">G09</x:t>
        </x:is>
      </x:c>
      <x:c r="B13" s="64" t="inlineStr">
        <x:is>
          <x:t xml:space="preserve">Appeal and second-review route operational</x:t>
        </x:is>
      </x:c>
      <x:c r="C13" s="64" t="inlineStr">
        <x:is>
          <x:t xml:space="preserve">Rubric, rationale, evidence access, non-involved reviewer, rehearing rule</x:t>
        </x:is>
      </x:c>
      <x:c r="D13" s="96" t="inlineStr">
        <x:is>
          <x:t xml:space="preserve">Not assessed</x:t>
        </x:is>
      </x:c>
      <x:c r="E13" s="64" t="str"/>
      <x:c r="F13" s="119" t="str"/>
      <x:c r="G13" s="65" t="inlineStr">
        <x:is>
          <x:t xml:space="preserve">Do not issue final consequential decision.</x:t>
        </x:is>
      </x:c>
    </x:row>
    <x:row r="14">
      <x:c r="A14" s="63" t="inlineStr">
        <x:is>
          <x:t xml:space="preserve">G10</x:t>
        </x:is>
      </x:c>
      <x:c r="B14" s="64" t="inlineStr">
        <x:is>
          <x:t xml:space="preserve">Data governance approved</x:t>
        </x:is>
      </x:c>
      <x:c r="C14" s="64" t="inlineStr">
        <x:is>
          <x:t xml:space="preserve">Purpose, minimisation, access, retention, correction, incident response</x:t>
        </x:is>
      </x:c>
      <x:c r="D14" s="96" t="inlineStr">
        <x:is>
          <x:t xml:space="preserve">Not assessed</x:t>
        </x:is>
      </x:c>
      <x:c r="E14" s="64" t="str"/>
      <x:c r="F14" s="119" t="str"/>
      <x:c r="G14" s="65" t="inlineStr">
        <x:is>
          <x:t xml:space="preserve">Do not collect or retain evidence until approved.</x:t>
        </x:is>
      </x:c>
    </x:row>
    <x:row r="15">
      <x:c r="A15" s="63" t="inlineStr">
        <x:is>
          <x:t xml:space="preserve">G11</x:t>
        </x:is>
      </x:c>
      <x:c r="B15" s="64" t="inlineStr">
        <x:is>
          <x:t xml:space="preserve">Capacity-degradation fallback declared</x:t>
        </x:is>
      </x:c>
      <x:c r="C15" s="64" t="inlineStr">
        <x:is>
          <x:t xml:space="preserve">Illness, mass rescheduling, technology failure, prompt compromise, recording loss</x:t>
        </x:is>
      </x:c>
      <x:c r="D15" s="96" t="inlineStr">
        <x:is>
          <x:t xml:space="preserve">Not assessed</x:t>
        </x:is>
      </x:c>
      <x:c r="E15" s="64" t="str"/>
      <x:c r="F15" s="119" t="str"/>
      <x:c r="G15" s="65" t="inlineStr">
        <x:is>
          <x:t xml:space="preserve">Pause, use governed equivalent route, narrow/delay/withhold.</x:t>
        </x:is>
      </x:c>
    </x:row>
    <x:row r="16">
      <x:c r="A16" s="63" t="inlineStr">
        <x:is>
          <x:t xml:space="preserve">G12</x:t>
        </x:is>
      </x:c>
      <x:c r="B16" s="64" t="inlineStr">
        <x:is>
          <x:t xml:space="preserve">Threat model acceptable</x:t>
        </x:is>
      </x:c>
      <x:c r="C16" s="64" t="inlineStr">
        <x:is>
          <x:t xml:space="preserve">Source and environmental independence, agentic-AI attack paths, residual risk</x:t>
        </x:is>
      </x:c>
      <x:c r="D16" s="96" t="inlineStr">
        <x:is>
          <x:t xml:space="preserve">Not assessed</x:t>
        </x:is>
      </x:c>
      <x:c r="E16" s="64" t="str"/>
      <x:c r="F16" s="119" t="str"/>
      <x:c r="G16" s="65" t="inlineStr">
        <x:is>
          <x:t xml:space="preserve">Add independent anchor or reduce consequence.</x:t>
        </x:is>
      </x:c>
    </x:row>
    <x:row r="17">
      <x:c r="A17" s="66" t="inlineStr">
        <x:is>
          <x:t xml:space="preserve">G13</x:t>
        </x:is>
      </x:c>
      <x:c r="B17" s="67" t="inlineStr">
        <x:is>
          <x:t xml:space="preserve">No unresolved high-severity exception</x:t>
        </x:is>
      </x:c>
      <x:c r="C17" s="67" t="inlineStr">
        <x:is>
          <x:t xml:space="preserve">Exception register and accountable acceptance</x:t>
        </x:is>
      </x:c>
      <x:c r="D17" s="97" t="inlineStr">
        <x:is>
          <x:t xml:space="preserve">Not assessed</x:t>
        </x:is>
      </x:c>
      <x:c r="E17" s="67" t="str"/>
      <x:c r="F17" s="120" t="str"/>
      <x:c r="G17" s="68" t="inlineStr">
        <x:is>
          <x:t xml:space="preserve">Block assurance claim.</x:t>
        </x:is>
      </x:c>
    </x:row>
    <x:row r="19">
      <x:c r="A19" s="26" t="inlineStr">
        <x:is>
          <x:t xml:space="preserve">Overall status</x:t>
        </x:is>
      </x:c>
      <x:c r="B19" s="27" t="inlineStr">
        <x:is>
          <x:t xml:space="preserve">Failed gates</x:t>
        </x:is>
      </x:c>
      <x:c r="C19" s="28" t="inlineStr">
        <x:is>
          <x:t xml:space="preserve">Controlled passes</x:t>
        </x:is>
      </x:c>
    </x:row>
    <x:row r="20">
      <x:c r="A20" s="109" t="str">
        <x:f>IF(COUNTA(D5:D17)&lt;13,"NOT READY",IF(COUNTIF(D5:D17,"FAIL")&gt;0,"FAIL",IF(COUNTIF(D5:D17,"Not assessed")&gt;0,"NOT READY",IF(COUNTIF(D5:D17,"PASS_WITH_CONTROLS")&gt;0,"PASS_WITH_CONTROLS",IF(COUNTIF(D5:D17,"PASS")=13,"PASS","NOT READY")))))</x:f>
        <x:v>NOT READY</x:v>
      </x:c>
      <x:c r="B20" s="109" t="n">
        <x:f>COUNTIF(D5:D17,"FAIL")</x:f>
        <x:v>0</x:v>
      </x:c>
      <x:c r="C20" s="109" t="n">
        <x:f>COUNTIF(D5:D17,"PASS_WITH_CONTROLS")</x:f>
        <x:v>0</x:v>
      </x:c>
    </x:row>
  </x:sheetData>
  <x:mergeCells>
    <x:mergeCell ref="A2:G2"/>
    <x:mergeCell ref="A1:G1"/>
  </x:mergeCells>
  <x:conditionalFormatting sqref="A20:A20">
    <x:cfRule type="expression" dxfId="0" priority="1">
      <x:formula>A20="FAIL"</x:formula>
    </x:cfRule>
    <x:cfRule type="expression" dxfId="1" priority="2">
      <x:formula>A20="NOT READY"</x:formula>
    </x:cfRule>
    <x:cfRule type="expression" dxfId="2" priority="3">
      <x:formula>A20="PASS_WITH_CONTROLS"</x:formula>
    </x:cfRule>
    <x:cfRule type="expression" dxfId="3" priority="4">
      <x:formula>A20="PASS"</x:formula>
    </x:cfRule>
  </x:conditionalFormatting>
  <x:dataValidations count="1">
    <x:dataValidation type="list" allowBlank="0" showDropDown="0" showInputMessage="0" showErrorMessage="0" sqref="D5:D17">
      <x:formula1>"Not assessed,PASS,PASS_WITH_CONTROLS,FAIL"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46" customWidth="1"/>
    <x:col min="2" max="2" width="13" style="46" customWidth="1"/>
    <x:col min="3" max="3" width="23" style="46" customWidth="1"/>
    <x:col min="4" max="4" width="32" style="46" customWidth="1"/>
    <x:col min="5" max="5" width="32" style="46" customWidth="1"/>
    <x:col min="6" max="6" width="32" style="46" customWidth="1"/>
    <x:col min="7" max="7" width="32" style="46" customWidth="1"/>
    <x:col min="8" max="8" width="32" style="46" customWidth="1"/>
  </x:cols>
  <x:sheetData>
    <x:row r="1" s="46" customFormat="1" ht="28" customHeight="1">
      <x:c r="A1" s="116" t="inlineStr">
        <x:is>
          <x:t xml:space="preserve">Capacity Degradation and Incident Log</x:t>
        </x:is>
      </x:c>
      <x:c r="B1" s="76" t="n"/>
      <x:c r="C1" s="76" t="n"/>
      <x:c r="D1" s="76" t="n"/>
      <x:c r="E1" s="76" t="n"/>
      <x:c r="F1" s="76" t="n"/>
      <x:c r="G1" s="76" t="n"/>
      <x:c r="H1" s="76" t="n"/>
    </x:row>
    <x:row r="3">
      <x:c r="A3" s="26" t="inlineStr">
        <x:is>
          <x:t xml:space="preserve">Incident ID</x:t>
        </x:is>
      </x:c>
      <x:c r="B3" s="27" t="inlineStr">
        <x:is>
          <x:t xml:space="preserve">Date</x:t>
        </x:is>
      </x:c>
      <x:c r="C3" s="27" t="inlineStr">
        <x:is>
          <x:t xml:space="preserve">Failure class</x:t>
        </x:is>
      </x:c>
      <x:c r="D3" s="27" t="inlineStr">
        <x:is>
          <x:t xml:space="preserve">Affected students / claims</x:t>
        </x:is>
      </x:c>
      <x:c r="E3" s="27" t="inlineStr">
        <x:is>
          <x:t xml:space="preserve">Immediate containment</x:t>
        </x:is>
      </x:c>
      <x:c r="F3" s="27" t="inlineStr">
        <x:is>
          <x:t xml:space="preserve">Fallback route</x:t>
        </x:is>
      </x:c>
      <x:c r="G3" s="27" t="inlineStr">
        <x:is>
          <x:t xml:space="preserve">Decision delay / narrowing</x:t>
        </x:is>
      </x:c>
      <x:c r="H3" s="28" t="inlineStr">
        <x:is>
          <x:t xml:space="preserve">Requalification record</x:t>
        </x:is>
      </x:c>
    </x:row>
    <x:row r="4">
      <x:c r="A4" s="60" t="str"/>
      <x:c r="B4" s="118" t="str"/>
      <x:c r="C4" s="61" t="str"/>
      <x:c r="D4" s="61" t="str"/>
      <x:c r="E4" s="61" t="str"/>
      <x:c r="F4" s="61" t="str"/>
      <x:c r="G4" s="61" t="str"/>
      <x:c r="H4" s="62" t="str"/>
    </x:row>
    <x:row r="5">
      <x:c r="A5" s="63" t="str"/>
      <x:c r="B5" s="119" t="str"/>
      <x:c r="C5" s="64" t="str"/>
      <x:c r="D5" s="64" t="str"/>
      <x:c r="E5" s="64" t="str"/>
      <x:c r="F5" s="64" t="str"/>
      <x:c r="G5" s="64" t="str"/>
      <x:c r="H5" s="65" t="str"/>
    </x:row>
    <x:row r="6">
      <x:c r="A6" s="63" t="str"/>
      <x:c r="B6" s="119" t="str"/>
      <x:c r="C6" s="64" t="str"/>
      <x:c r="D6" s="64" t="str"/>
      <x:c r="E6" s="64" t="str"/>
      <x:c r="F6" s="64" t="str"/>
      <x:c r="G6" s="64" t="str"/>
      <x:c r="H6" s="65" t="str"/>
    </x:row>
    <x:row r="7">
      <x:c r="A7" s="63" t="str"/>
      <x:c r="B7" s="119" t="str"/>
      <x:c r="C7" s="64" t="str"/>
      <x:c r="D7" s="64" t="str"/>
      <x:c r="E7" s="64" t="str"/>
      <x:c r="F7" s="64" t="str"/>
      <x:c r="G7" s="64" t="str"/>
      <x:c r="H7" s="65" t="str"/>
    </x:row>
    <x:row r="8">
      <x:c r="A8" s="63" t="str"/>
      <x:c r="B8" s="119" t="str"/>
      <x:c r="C8" s="64" t="str"/>
      <x:c r="D8" s="64" t="str"/>
      <x:c r="E8" s="64" t="str"/>
      <x:c r="F8" s="64" t="str"/>
      <x:c r="G8" s="64" t="str"/>
      <x:c r="H8" s="65" t="str"/>
    </x:row>
    <x:row r="9">
      <x:c r="A9" s="63" t="str"/>
      <x:c r="B9" s="119" t="str"/>
      <x:c r="C9" s="64" t="str"/>
      <x:c r="D9" s="64" t="str"/>
      <x:c r="E9" s="64" t="str"/>
      <x:c r="F9" s="64" t="str"/>
      <x:c r="G9" s="64" t="str"/>
      <x:c r="H9" s="65" t="str"/>
    </x:row>
    <x:row r="10">
      <x:c r="A10" s="63" t="str"/>
      <x:c r="B10" s="119" t="str"/>
      <x:c r="C10" s="64" t="str"/>
      <x:c r="D10" s="64" t="str"/>
      <x:c r="E10" s="64" t="str"/>
      <x:c r="F10" s="64" t="str"/>
      <x:c r="G10" s="64" t="str"/>
      <x:c r="H10" s="65" t="str"/>
    </x:row>
    <x:row r="11">
      <x:c r="A11" s="63" t="str"/>
      <x:c r="B11" s="119" t="str"/>
      <x:c r="C11" s="64" t="str"/>
      <x:c r="D11" s="64" t="str"/>
      <x:c r="E11" s="64" t="str"/>
      <x:c r="F11" s="64" t="str"/>
      <x:c r="G11" s="64" t="str"/>
      <x:c r="H11" s="65" t="str"/>
    </x:row>
    <x:row r="12">
      <x:c r="A12" s="63" t="str"/>
      <x:c r="B12" s="119" t="str"/>
      <x:c r="C12" s="64" t="str"/>
      <x:c r="D12" s="64" t="str"/>
      <x:c r="E12" s="64" t="str"/>
      <x:c r="F12" s="64" t="str"/>
      <x:c r="G12" s="64" t="str"/>
      <x:c r="H12" s="65" t="str"/>
    </x:row>
    <x:row r="13">
      <x:c r="A13" s="63" t="str"/>
      <x:c r="B13" s="119" t="str"/>
      <x:c r="C13" s="64" t="str"/>
      <x:c r="D13" s="64" t="str"/>
      <x:c r="E13" s="64" t="str"/>
      <x:c r="F13" s="64" t="str"/>
      <x:c r="G13" s="64" t="str"/>
      <x:c r="H13" s="65" t="str"/>
    </x:row>
    <x:row r="14">
      <x:c r="A14" s="63" t="str"/>
      <x:c r="B14" s="119" t="str"/>
      <x:c r="C14" s="64" t="str"/>
      <x:c r="D14" s="64" t="str"/>
      <x:c r="E14" s="64" t="str"/>
      <x:c r="F14" s="64" t="str"/>
      <x:c r="G14" s="64" t="str"/>
      <x:c r="H14" s="65" t="str"/>
    </x:row>
    <x:row r="15">
      <x:c r="A15" s="63" t="str"/>
      <x:c r="B15" s="119" t="str"/>
      <x:c r="C15" s="64" t="str"/>
      <x:c r="D15" s="64" t="str"/>
      <x:c r="E15" s="64" t="str"/>
      <x:c r="F15" s="64" t="str"/>
      <x:c r="G15" s="64" t="str"/>
      <x:c r="H15" s="65" t="str"/>
    </x:row>
    <x:row r="16">
      <x:c r="A16" s="63" t="str"/>
      <x:c r="B16" s="119" t="str"/>
      <x:c r="C16" s="64" t="str"/>
      <x:c r="D16" s="64" t="str"/>
      <x:c r="E16" s="64" t="str"/>
      <x:c r="F16" s="64" t="str"/>
      <x:c r="G16" s="64" t="str"/>
      <x:c r="H16" s="65" t="str"/>
    </x:row>
    <x:row r="17">
      <x:c r="A17" s="63" t="str"/>
      <x:c r="B17" s="119" t="str"/>
      <x:c r="C17" s="64" t="str"/>
      <x:c r="D17" s="64" t="str"/>
      <x:c r="E17" s="64" t="str"/>
      <x:c r="F17" s="64" t="str"/>
      <x:c r="G17" s="64" t="str"/>
      <x:c r="H17" s="65" t="str"/>
    </x:row>
    <x:row r="18">
      <x:c r="A18" s="63" t="str"/>
      <x:c r="B18" s="119" t="str"/>
      <x:c r="C18" s="64" t="str"/>
      <x:c r="D18" s="64" t="str"/>
      <x:c r="E18" s="64" t="str"/>
      <x:c r="F18" s="64" t="str"/>
      <x:c r="G18" s="64" t="str"/>
      <x:c r="H18" s="65" t="str"/>
    </x:row>
    <x:row r="19">
      <x:c r="A19" s="63" t="str"/>
      <x:c r="B19" s="119" t="str"/>
      <x:c r="C19" s="64" t="str"/>
      <x:c r="D19" s="64" t="str"/>
      <x:c r="E19" s="64" t="str"/>
      <x:c r="F19" s="64" t="str"/>
      <x:c r="G19" s="64" t="str"/>
      <x:c r="H19" s="65" t="str"/>
    </x:row>
    <x:row r="20">
      <x:c r="A20" s="63" t="str"/>
      <x:c r="B20" s="119" t="str"/>
      <x:c r="C20" s="64" t="str"/>
      <x:c r="D20" s="64" t="str"/>
      <x:c r="E20" s="64" t="str"/>
      <x:c r="F20" s="64" t="str"/>
      <x:c r="G20" s="64" t="str"/>
      <x:c r="H20" s="65" t="str"/>
    </x:row>
    <x:row r="21">
      <x:c r="A21" s="63" t="str"/>
      <x:c r="B21" s="119" t="str"/>
      <x:c r="C21" s="64" t="str"/>
      <x:c r="D21" s="64" t="str"/>
      <x:c r="E21" s="64" t="str"/>
      <x:c r="F21" s="64" t="str"/>
      <x:c r="G21" s="64" t="str"/>
      <x:c r="H21" s="65" t="str"/>
    </x:row>
    <x:row r="22">
      <x:c r="A22" s="63" t="str"/>
      <x:c r="B22" s="119" t="str"/>
      <x:c r="C22" s="64" t="str"/>
      <x:c r="D22" s="64" t="str"/>
      <x:c r="E22" s="64" t="str"/>
      <x:c r="F22" s="64" t="str"/>
      <x:c r="G22" s="64" t="str"/>
      <x:c r="H22" s="65" t="str"/>
    </x:row>
    <x:row r="23">
      <x:c r="A23" s="66" t="str"/>
      <x:c r="B23" s="120" t="str"/>
      <x:c r="C23" s="67" t="str"/>
      <x:c r="D23" s="67" t="str"/>
      <x:c r="E23" s="67" t="str"/>
      <x:c r="F23" s="67" t="str"/>
      <x:c r="G23" s="67" t="str"/>
      <x:c r="H23" s="68" t="str"/>
    </x:row>
  </x:sheetData>
  <x:mergeCells>
    <x:mergeCell ref="A1:H1"/>
  </x:mergeCells>
  <x:dataValidations count="1">
    <x:dataValidation type="list" allowBlank="0" showDropDown="0" showInputMessage="0" showErrorMessage="0" sqref="C4:C23">
      <x:formula1>"Assessor illness,Mass rescheduling,Technology failure,Prompt compromise,Recording loss,Accessibility failure,Data incident,Other"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46" customWidth="1"/>
    <x:col min="2" max="2" width="54" style="46" customWidth="1"/>
    <x:col min="3" max="3" width="54" style="46" customWidth="1"/>
  </x:cols>
  <x:sheetData>
    <x:row r="1" s="46" customFormat="1" ht="28" customHeight="1">
      <x:c r="A1" s="116" t="inlineStr">
        <x:is>
          <x:t xml:space="preserve">Decision Rules</x:t>
        </x:is>
      </x:c>
      <x:c r="B1" s="76" t="n"/>
      <x:c r="C1" s="76" t="n"/>
    </x:row>
    <x:row r="3">
      <x:c r="A3" s="26" t="inlineStr">
        <x:is>
          <x:t xml:space="preserve">Rule</x:t>
        </x:is>
      </x:c>
      <x:c r="B3" s="27" t="inlineStr">
        <x:is>
          <x:t xml:space="preserve">Meaning</x:t>
        </x:is>
      </x:c>
      <x:c r="C3" s="28" t="inlineStr">
        <x:is>
          <x:t xml:space="preserve">Permitted response</x:t>
        </x:is>
      </x:c>
    </x:row>
    <x:row r="4">
      <x:c r="A4" s="60" t="inlineStr">
        <x:is>
          <x:t xml:space="preserve">Fail closed</x:t>
        </x:is>
      </x:c>
      <x:c r="B4" s="61" t="inlineStr">
        <x:is>
          <x:t xml:space="preserve">A failed load-bearing prerequisite cannot be averaged away.</x:t>
        </x:is>
      </x:c>
      <x:c r="C4" s="62" t="inlineStr">
        <x:is>
          <x:t xml:space="preserve">Redesign, reduce stakes, narrow, delay, or withhold the claim.</x:t>
        </x:is>
      </x:c>
    </x:row>
    <x:row r="5">
      <x:c r="A5" s="63" t="inlineStr">
        <x:is>
          <x:t xml:space="preserve">PASS_WITH_CONTROLS</x:t>
        </x:is>
      </x:c>
      <x:c r="B5" s="64" t="inlineStr">
        <x:is>
          <x:t xml:space="preserve">Allowed only when feasibility remains intact after explicit controls and accountable acceptance.</x:t>
        </x:is>
      </x:c>
      <x:c r="C5" s="65" t="inlineStr">
        <x:is>
          <x:t xml:space="preserve">Name owner, monitoring, expiry, trigger, and requalification consequence.</x:t>
        </x:is>
      </x:c>
    </x:row>
    <x:row r="6">
      <x:c r="A6" s="63" t="inlineStr">
        <x:is>
          <x:t xml:space="preserve">Mid-cycle degradation</x:t>
        </x:is>
      </x:c>
      <x:c r="B6" s="64" t="inlineStr">
        <x:is>
          <x:t xml:space="preserve">A gate can fail after delivery begins.</x:t>
        </x:is>
      </x:c>
      <x:c r="C6" s="65" t="inlineStr">
        <x:is>
          <x:t xml:space="preserve">Pause, provide equivalent governed fallback, narrow/delay/withhold; never silently dilute evidence.</x:t>
        </x:is>
      </x:c>
    </x:row>
    <x:row r="7">
      <x:c r="A7" s="63" t="inlineStr">
        <x:is>
          <x:t xml:space="preserve">Individual claim</x:t>
        </x:is>
      </x:c>
      <x:c r="B7" s="64" t="inlineStr">
        <x:is>
          <x:t xml:space="preserve">Every student completes the minimum evidence when an individual consequential claim depends on it.</x:t>
        </x:is>
      </x:c>
      <x:c r="C7" s="65" t="inlineStr">
        <x:is>
          <x:t xml:space="preserve">Sampling is for moderation, calibration, audit, and research only.</x:t>
        </x:is>
      </x:c>
    </x:row>
    <x:row r="8">
      <x:c r="A8" s="66" t="inlineStr">
        <x:is>
          <x:t xml:space="preserve">Prompt compromise</x:t>
        </x:is>
      </x:c>
      <x:c r="B8" s="67" t="inlineStr">
        <x:is>
          <x:t xml:space="preserve">A circulated prompt is no longer safely unseen.</x:t>
        </x:is>
      </x:c>
      <x:c r="C8" s="68" t="inlineStr">
        <x:is>
          <x:t xml:space="preserve">Retire or replace the prompt, protect affected students, audit exposure, and review prior decisions.</x:t>
        </x:is>
      </x:c>
    </x:row>
    <x:row r="10" s="46" customFormat="1" ht="58" customHeight="1">
      <x:c r="A10" s="55" t="str">
        <x:v>Status serialization</x:v>
      </x:c>
      <x:c r="B10" s="55" t="str">
        <x:v>Workbook display "PASS", "PASS_WITH_CONTROLS", "FAIL", and "NOT READY" map to JSON enums "PASS", "PASS_WITH_CONTROLS", "FAIL", and "NOT_READY"; condition display "Not assessed" maps to "NOT_ASSESSED".</x:v>
      </x:c>
      <x:c r="C10" s="55" t="str">
        <x:v>Use the explicit mapping when transferring records between the workbook and machine-readable schema.</x:v>
      </x:c>
    </x:row>
    <x:row r="11" s="46" customFormat="1" ht="42" customHeight="1">
      <x:c r="A11" s="55" t="inlineStr">
        <x:is>
          <x:t xml:space="preserve">Affirmative PASS</x:t>
        </x:is>
      </x:c>
      <x:c r="B11" s="55" t="inlineStr">
        <x:is>
          <x:t xml:space="preserve">PASS is returned only when all thirteen condition cells explicitly contain PASS. Blank, pasted, or unrecognized values remain NOT READY.</x:t>
        </x:is>
      </x:c>
      <x:c r="C11" s="55" t="inlineStr">
        <x:is>
          <x:t xml:space="preserve">Do not treat data validation alone as a fail-closed control; preserve the conservative formula and review the status range.</x:t>
        </x:is>
      </x:c>
    </x:row>
  </x:sheetData>
  <x:mergeCells>
    <x:mergeCell ref="A1:C1"/>
  </x:mergeCells>
  <x:pageMargins left="0.7" right="0.7" top="0.75" bottom="0.75" header="0.3" footer="0.3"/>
</x:worksheet>
</file>