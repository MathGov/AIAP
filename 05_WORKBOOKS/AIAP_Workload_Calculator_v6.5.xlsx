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009f1c5ce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e0552d314af40f5"/>
    <x:sheet xmlns:r="http://schemas.openxmlformats.org/officeDocument/2006/relationships" name="Scenario Comparison" sheetId="2" r:id="R905003ea641b4b03"/>
    <x:sheet xmlns:r="http://schemas.openxmlformats.org/officeDocument/2006/relationships" name="Student Burden" sheetId="3" r:id="Rf09b9dd8b54148d4"/>
    <x:sheet xmlns:r="http://schemas.openxmlformats.org/officeDocument/2006/relationships" name="Local Comparator" sheetId="4" r:id="R6a15969acf5945de"/>
    <x:sheet xmlns:r="http://schemas.openxmlformats.org/officeDocument/2006/relationships" name="Notes" sheetId="5" r:id="R60adf7e8d0e24b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23"/>
  </x:cellStyleXfs>
  <x:cellXfs count="17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3" fillId="2" borderId="0" xfId="0"/>
    <x:xf numFmtId="0" fontId="3" fillId="2" borderId="2" xfId="0"/>
    <x:xf numFmtId="0" fontId="3" fillId="2" borderId="3" xfId="0"/>
    <x:xf numFmtId="0" fontId="3" fillId="2" borderId="4" xfId="0"/>
    <x:xf numFmtId="0" fontId="3" fillId="2" borderId="2" xfId="0" applyAlignment="1">
      <x:alignment wrapText="1"/>
    </x:xf>
    <x:xf numFmtId="0" fontId="3" fillId="2" borderId="3" xfId="0" applyAlignment="1">
      <x:alignment wrapText="1"/>
    </x:xf>
    <x:xf numFmtId="0" fontId="3" fillId="2" borderId="4" xfId="0" applyAlignment="1">
      <x:alignment wrapText="1"/>
    </x:xf>
    <x:xf numFmtId="0" fontId="3" fillId="2" borderId="2" xfId="0" applyAlignment="1">
      <x:alignment horizontal="center" wrapText="1"/>
    </x:xf>
    <x:xf numFmtId="0" fontId="3" fillId="2" borderId="3" xfId="0" applyAlignment="1">
      <x:alignment horizontal="center" wrapText="1"/>
    </x:xf>
    <x:xf numFmtId="0" fontId="3" fillId="2" borderId="4" xfId="0" applyAlignment="1">
      <x:alignment horizontal="center" wrapText="1"/>
    </x:xf>
    <x:xf numFmtId="0" fontId="3" fillId="2" borderId="2" xfId="0" applyAlignment="1">
      <x:alignment horizontal="center" vertical="center" wrapText="1"/>
    </x:xf>
    <x:xf numFmtId="0" fontId="3" fillId="2" borderId="3" xfId="0" applyAlignment="1">
      <x:alignment horizontal="center" vertical="center" wrapText="1"/>
    </x:xf>
    <x:xf numFmtId="0" fontId="3" fillId="2" borderId="4" xfId="0" applyAlignment="1">
      <x:alignment horizontal="center" vertical="center" wrapText="1"/>
    </x:xf>
    <x:xf numFmtId="0" fontId="3" fillId="2" borderId="1" xfId="0"/>
    <x:xf numFmtId="0" fontId="3" fillId="2" borderId="5" xfId="0"/>
    <x:xf numFmtId="0" fontId="3" fillId="2" borderId="6" xfId="0"/>
    <x:xf numFmtId="0" fontId="3" fillId="2" borderId="7" xfId="0"/>
    <x:xf numFmtId="0" fontId="3" fillId="2" borderId="5" xfId="0" applyAlignment="1">
      <x:alignment wrapText="1"/>
    </x:xf>
    <x:xf numFmtId="0" fontId="3" fillId="2" borderId="6" xfId="0" applyAlignment="1">
      <x:alignment wrapText="1"/>
    </x:xf>
    <x:xf numFmtId="0" fontId="3" fillId="2" borderId="7" xfId="0" applyAlignment="1">
      <x:alignment wrapText="1"/>
    </x:xf>
    <x:xf numFmtId="0" fontId="3" fillId="2" borderId="5" xfId="0" applyAlignment="1">
      <x:alignment horizontal="center" wrapText="1"/>
    </x:xf>
    <x:xf numFmtId="0" fontId="3" fillId="2" borderId="6" xfId="0" applyAlignment="1">
      <x:alignment horizontal="center" wrapText="1"/>
    </x:xf>
    <x:xf numFmtId="0" fontId="3" fillId="2" borderId="7" xfId="0" applyAlignment="1">
      <x:alignment horizontal="center" wrapText="1"/>
    </x:xf>
    <x:xf numFmtId="0" fontId="3" fillId="2" borderId="5" xfId="0" applyAlignment="1">
      <x:alignment horizontal="center" vertical="center" wrapText="1"/>
    </x:xf>
    <x:xf numFmtId="0" fontId="3" fillId="2" borderId="6" xfId="0" applyAlignment="1">
      <x:alignment horizontal="center" vertical="center" wrapText="1"/>
    </x:xf>
    <x:xf numFmtId="0" fontId="3" fillId="2" borderId="7" xfId="0" applyAlignment="1">
      <x:alignment horizontal="center" vertical="center" wrapText="1"/>
    </x:xf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0" xfId="0"/>
    <x:xf numFmtId="0" fontId="0" fillId="0" borderId="12" xfId="0"/>
    <x:xf numFmtId="0" fontId="0" fillId="0" borderId="13" xfId="0"/>
    <x:xf numFmtId="0" fontId="0" fillId="0" borderId="14" xfId="0"/>
    <x:xf numFmtId="0" fontId="0" fillId="0" borderId="15" xfId="0"/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0" xfId="0" applyAlignment="1">
      <x:alignment wrapText="1"/>
    </x:xf>
    <x:xf numFmtId="0" fontId="0" fillId="0" borderId="12" xfId="0" applyAlignment="1">
      <x:alignment wrapText="1"/>
    </x:xf>
    <x:xf numFmtId="0" fontId="0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8" xfId="0" applyAlignment="1">
      <x:alignment vertical="top" wrapText="1"/>
    </x:xf>
    <x:xf numFmtId="0" fontId="0" fillId="0" borderId="9" xfId="0" applyAlignment="1">
      <x:alignment vertical="top" wrapText="1"/>
    </x:xf>
    <x:xf numFmtId="0" fontId="0" fillId="0" borderId="10" xfId="0" applyAlignment="1">
      <x:alignment vertical="top" wrapText="1"/>
    </x:xf>
    <x:xf numFmtId="0" fontId="0" fillId="0" borderId="11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2" xfId="0" applyAlignment="1">
      <x:alignment vertical="top" wrapText="1"/>
    </x:xf>
    <x:xf numFmtId="0" fontId="0" fillId="0" borderId="13" xfId="0" applyAlignment="1">
      <x:alignment vertical="top" wrapText="1"/>
    </x:xf>
    <x:xf numFmtId="0" fontId="0" fillId="0" borderId="14" xfId="0" applyAlignment="1">
      <x:alignment vertical="top" wrapText="1"/>
    </x:xf>
    <x:xf numFmtId="0" fontId="0" fillId="0" borderId="15" xfId="0" applyAlignment="1">
      <x:alignment vertical="top" wrapText="1"/>
    </x:xf>
    <x:xf numFmtId="0" fontId="0" fillId="0" borderId="16" xfId="0"/>
    <x:xf numFmtId="0" fontId="0" fillId="0" borderId="17" xfId="0"/>
    <x:xf numFmtId="0" fontId="0" fillId="0" borderId="18" xfId="0"/>
    <x:xf numFmtId="0" fontId="0" fillId="0" borderId="19" xfId="0"/>
    <x:xf numFmtId="0" fontId="0" fillId="0" borderId="20" xfId="0"/>
    <x:xf numFmtId="0" fontId="0" fillId="0" borderId="21" xfId="0"/>
    <x:xf numFmtId="0" fontId="0" fillId="0" borderId="22" xfId="0"/>
    <x:xf numFmtId="0" fontId="0" fillId="0" borderId="23" xfId="0"/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0" fillId="0" borderId="18" xfId="0" applyAlignment="1">
      <x:alignment wrapText="1"/>
    </x:xf>
    <x:xf numFmtId="0" fontId="0" fillId="0" borderId="19" xfId="0" applyAlignment="1">
      <x:alignment wrapText="1"/>
    </x:xf>
    <x:xf numFmtId="0" fontId="0" fillId="0" borderId="1" xfId="0" applyAlignment="1">
      <x:alignment wrapText="1"/>
    </x:xf>
    <x:xf numFmtId="0" fontId="0" fillId="0" borderId="20" xfId="0" applyAlignment="1">
      <x:alignment wrapText="1"/>
    </x:xf>
    <x:xf numFmtId="0" fontId="0" fillId="0" borderId="21" xfId="0" applyAlignment="1">
      <x:alignment wrapText="1"/>
    </x:xf>
    <x:xf numFmtId="0" fontId="0" fillId="0" borderId="22" xfId="0" applyAlignment="1">
      <x:alignment wrapText="1"/>
    </x:xf>
    <x:xf numFmtId="0" fontId="0" fillId="0" borderId="23" xfId="0" applyAlignment="1">
      <x:alignment wrapText="1"/>
    </x:xf>
    <x:xf numFmtId="0" fontId="0" fillId="0" borderId="16" xfId="0" applyAlignment="1">
      <x:alignment vertical="top" wrapText="1"/>
    </x:xf>
    <x:xf numFmtId="0" fontId="0" fillId="0" borderId="17" xfId="0" applyAlignment="1">
      <x:alignment vertical="top" wrapText="1"/>
    </x:xf>
    <x:xf numFmtId="0" fontId="0" fillId="0" borderId="18" xfId="0" applyAlignment="1">
      <x:alignment vertical="top" wrapText="1"/>
    </x:xf>
    <x:xf numFmtId="0" fontId="0" fillId="0" borderId="19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1" xfId="0" applyAlignment="1">
      <x:alignment vertical="top" wrapText="1"/>
    </x:xf>
    <x:xf numFmtId="0" fontId="0" fillId="0" borderId="22" xfId="0" applyAlignment="1">
      <x:alignment vertical="top" wrapText="1"/>
    </x:xf>
    <x:xf numFmtId="0" fontId="0" fillId="0" borderId="23" xfId="0" applyAlignment="1">
      <x:alignment vertical="top" wrapText="1"/>
    </x:xf>
    <x:xf numFmtId="0" fontId="0" fillId="4" borderId="9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4" borderId="14" xfId="0" applyAlignment="1">
      <x:alignment vertical="top" wrapText="1"/>
    </x:xf>
    <x:xf numFmtId="0" fontId="0" fillId="4" borderId="17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4" borderId="22" xfId="0" applyAlignment="1">
      <x:alignment vertical="top" wrapText="1"/>
    </x:xf>
    <x:xf numFmtId="9" fontId="0" fillId="4" borderId="0" xfId="0" applyAlignment="1">
      <x:alignment vertical="top" wrapText="1"/>
    </x:xf>
    <x:xf numFmtId="9" fontId="0" fillId="4" borderId="1" xfId="0" applyAlignment="1">
      <x:alignment vertical="top" wrapText="1"/>
    </x:xf>
    <x:xf numFmtId="0" fontId="0" fillId="5" borderId="11" xfId="0" applyAlignment="1">
      <x:alignment vertical="top" wrapText="1"/>
    </x:xf>
    <x:xf numFmtId="0" fontId="0" fillId="5" borderId="0" xfId="0" applyAlignment="1">
      <x:alignment vertical="top" wrapText="1"/>
    </x:xf>
    <x:xf numFmtId="0" fontId="0" fillId="5" borderId="12" xfId="0" applyAlignment="1">
      <x:alignment vertical="top" wrapText="1"/>
    </x:xf>
    <x:xf numFmtId="0" fontId="0" fillId="5" borderId="19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5" borderId="20" xfId="0" applyAlignment="1">
      <x:alignment vertical="top" wrapText="1"/>
    </x:xf>
    <x:xf numFmtId="0" fontId="4" fillId="5" borderId="11" xfId="0" applyAlignment="1">
      <x:alignment vertical="top" wrapText="1"/>
    </x:xf>
    <x:xf numFmtId="0" fontId="4" fillId="5" borderId="0" xfId="0" applyAlignment="1">
      <x:alignment vertical="top" wrapText="1"/>
    </x:xf>
    <x:xf numFmtId="0" fontId="4" fillId="5" borderId="12" xfId="0" applyAlignment="1">
      <x:alignment vertical="top" wrapText="1"/>
    </x:xf>
    <x:xf numFmtId="0" fontId="4" fillId="5" borderId="19" xfId="0" applyAlignment="1">
      <x:alignment vertical="top" wrapText="1"/>
    </x:xf>
    <x:xf numFmtId="0" fontId="4" fillId="5" borderId="1" xfId="0" applyAlignment="1">
      <x:alignment vertical="top" wrapText="1"/>
    </x:xf>
    <x:xf numFmtId="0" fontId="4" fillId="5" borderId="20" xfId="0" applyAlignment="1">
      <x:alignment vertical="top" wrapText="1"/>
    </x:xf>
    <x:xf numFmtId="0" fontId="0" fillId="5" borderId="13" xfId="0" applyAlignment="1">
      <x:alignment vertical="top" wrapText="1"/>
    </x:xf>
    <x:xf numFmtId="0" fontId="0" fillId="5" borderId="14" xfId="0" applyAlignment="1">
      <x:alignment vertical="top" wrapText="1"/>
    </x:xf>
    <x:xf numFmtId="0" fontId="0" fillId="5" borderId="15" xfId="0" applyAlignment="1">
      <x:alignment vertical="top" wrapText="1"/>
    </x:xf>
    <x:xf numFmtId="0" fontId="0" fillId="5" borderId="21" xfId="0" applyAlignment="1">
      <x:alignment vertical="top" wrapText="1"/>
    </x:xf>
    <x:xf numFmtId="0" fontId="0" fillId="5" borderId="22" xfId="0" applyAlignment="1">
      <x:alignment vertical="top" wrapText="1"/>
    </x:xf>
    <x:xf numFmtId="0" fontId="0" fillId="5" borderId="23" xfId="0" applyAlignment="1">
      <x:alignment vertical="top" wrapText="1"/>
    </x:xf>
    <x:xf numFmtId="0" fontId="4" fillId="5" borderId="13" xfId="0" applyAlignment="1">
      <x:alignment vertical="top" wrapText="1"/>
    </x:xf>
    <x:xf numFmtId="0" fontId="4" fillId="5" borderId="14" xfId="0" applyAlignment="1">
      <x:alignment vertical="top" wrapText="1"/>
    </x:xf>
    <x:xf numFmtId="0" fontId="4" fillId="5" borderId="15" xfId="0" applyAlignment="1">
      <x:alignment vertical="top" wrapText="1"/>
    </x:xf>
    <x:xf numFmtId="0" fontId="4" fillId="5" borderId="21" xfId="0" applyAlignment="1">
      <x:alignment vertical="top" wrapText="1"/>
    </x:xf>
    <x:xf numFmtId="0" fontId="4" fillId="5" borderId="22" xfId="0" applyAlignment="1">
      <x:alignment vertical="top" wrapText="1"/>
    </x:xf>
    <x:xf numFmtId="0" fontId="4" fillId="5" borderId="23" xfId="0" applyAlignment="1">
      <x:alignment vertical="top" wrapText="1"/>
    </x:xf>
    <x:xf numFmtId="2" fontId="0" fillId="0" borderId="9" xfId="0" applyAlignment="1">
      <x:alignment vertical="top" wrapText="1"/>
    </x:xf>
    <x:xf numFmtId="2" fontId="0" fillId="0" borderId="0" xfId="0" applyAlignment="1">
      <x:alignment vertical="top" wrapText="1"/>
    </x:xf>
    <x:xf numFmtId="2" fontId="4" fillId="5" borderId="0" xfId="0" applyAlignment="1">
      <x:alignment vertical="top" wrapText="1"/>
    </x:xf>
    <x:xf numFmtId="2" fontId="4" fillId="5" borderId="14" xfId="0" applyAlignment="1">
      <x:alignment vertical="top" wrapText="1"/>
    </x:xf>
    <x:xf numFmtId="2" fontId="0" fillId="0" borderId="17" xfId="0" applyAlignment="1">
      <x:alignment vertical="top" wrapText="1"/>
    </x:xf>
    <x:xf numFmtId="2" fontId="0" fillId="0" borderId="1" xfId="0" applyAlignment="1">
      <x:alignment vertical="top" wrapText="1"/>
    </x:xf>
    <x:xf numFmtId="2" fontId="4" fillId="5" borderId="1" xfId="0" applyAlignment="1">
      <x:alignment vertical="top" wrapText="1"/>
    </x:xf>
    <x:xf numFmtId="2" fontId="4" fillId="5" borderId="22" xfId="0" applyAlignment="1">
      <x:alignment vertical="top" wrapText="1"/>
    </x:xf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1" fontId="0" fillId="4" borderId="0" xfId="0" applyAlignment="1">
      <x:alignment vertical="top" wrapText="1"/>
    </x:xf>
    <x:xf numFmtId="2" fontId="0" fillId="4" borderId="0" xfId="0" applyAlignment="1">
      <x:alignment vertical="top" wrapText="1"/>
    </x:xf>
    <x:xf numFmtId="0" fontId="1" fillId="2" borderId="23" xfId="0" applyAlignment="1">
      <x:alignment horizontal="left" vertical="center"/>
    </x:xf>
    <x:xf numFmtId="0" fontId="2" fillId="3" borderId="23" xfId="0" applyAlignment="1">
      <x:alignment wrapText="1"/>
    </x:xf>
    <x:xf numFmtId="1" fontId="0" fillId="4" borderId="0" xfId="0" applyAlignment="1">
      <x:alignment vertical="top" wrapText="1"/>
    </x:xf>
    <x:xf numFmtId="9" fontId="0" fillId="4" borderId="0" xfId="0" applyAlignment="1">
      <x:alignment vertical="top" wrapText="1"/>
    </x:xf>
    <x:xf numFmtId="2" fontId="0" fillId="4" borderId="0" xfId="0" applyAlignment="1">
      <x:alignment vertical="top" wrapText="1"/>
    </x:xf>
    <x:xf numFmtId="2" fontId="0" fillId="0" borderId="9" xfId="0" applyAlignment="1">
      <x:alignment vertical="top" wrapText="1"/>
    </x:xf>
    <x:xf numFmtId="2" fontId="0" fillId="0" borderId="0" xfId="0" applyAlignment="1">
      <x:alignment vertical="top" wrapText="1"/>
    </x:xf>
    <x:xf numFmtId="2" fontId="4" fillId="5" borderId="0" xfId="0" applyAlignment="1">
      <x:alignment vertical="top" wrapText="1"/>
    </x:xf>
    <x:xf numFmtId="2" fontId="4" fillId="5" borderId="14" xfId="0" applyAlignment="1">
      <x:alignment vertical="top" wrapText="1"/>
    </x:xf>
    <x:xf numFmtId="0" fontId="0" fillId="4" borderId="23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9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" fontId="0" fillId="0" borderId="0" xfId="0" applyNumberFormat="1" applyFont="1" applyFill="1" applyBorder="1" applyAlignment="1">
      <x:alignment vertical="top" wrapText="1"/>
    </x:xf>
    <x:xf numFmtId="2" fontId="4" fillId="5" borderId="0" xfId="0" applyNumberFormat="1" applyFont="1" applyFill="1" applyBorder="1" applyAlignment="1">
      <x:alignment vertical="top" wrapText="1"/>
    </x:xf>
    <x:xf numFmtId="1" fontId="0" fillId="4" borderId="0" xfId="0" applyNumberFormat="1" applyFont="1" applyFill="1" applyBorder="1" applyAlignment="1">
      <x:alignment vertical="top" wrapText="1"/>
    </x:xf>
    <x:xf numFmtId="2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f20209e2e34f4f" /><Relationship Type="http://schemas.openxmlformats.org/officeDocument/2006/relationships/theme" Target="/xl/theme/theme1.xml" Id="R226395d730cb444e" /><Relationship Type="http://schemas.openxmlformats.org/officeDocument/2006/relationships/sharedStrings" Target="/xl/sharedStrings.xml" Id="R648df841316746c7" /><Relationship Type="http://schemas.openxmlformats.org/officeDocument/2006/relationships/worksheet" Target="/xl/worksheets/sheet1.xml" Id="R0e0552d314af40f5" /><Relationship Type="http://schemas.openxmlformats.org/officeDocument/2006/relationships/worksheet" Target="/xl/worksheets/sheet2.xml" Id="R905003ea641b4b03" /><Relationship Type="http://schemas.openxmlformats.org/officeDocument/2006/relationships/worksheet" Target="/xl/worksheets/sheet3.xml" Id="Rf09b9dd8b54148d4" /><Relationship Type="http://schemas.openxmlformats.org/officeDocument/2006/relationships/worksheet" Target="/xl/worksheets/sheet4.xml" Id="R6a15969acf5945de" /><Relationship Type="http://schemas.openxmlformats.org/officeDocument/2006/relationships/worksheet" Target="/xl/worksheets/sheet5.xml" Id="R60adf7e8d0e24b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4" style="46" customWidth="1"/>
    <x:col min="2" max="2" width="18" style="46" customWidth="1"/>
    <x:col min="3" max="3" width="18" style="46" customWidth="1"/>
    <x:col min="4" max="4" width="28" style="46" customWidth="1"/>
  </x:cols>
  <x:sheetData>
    <x:row r="1" s="46" customFormat="1" ht="28" customHeight="1">
      <x:c r="A1" s="140" t="inlineStr">
        <x:is>
          <x:t xml:space="preserve">AIAP Workload Calculator v6.5</x:t>
        </x:is>
      </x:c>
      <x:c r="B1" s="76" t="n"/>
      <x:c r="C1" s="76" t="n"/>
      <x:c r="D1" s="76" t="n"/>
    </x:row>
    <x:row r="2">
      <x:c r="A2" s="141" t="inlineStr">
        <x:is>
          <x:t xml:space="preserve">Editable assumptions are highlighted. Replace illustrative values with local evidence before use.</x:t>
        </x:is>
      </x:c>
      <x:c r="B2" s="76" t="n"/>
      <x:c r="C2" s="76" t="n"/>
      <x:c r="D2" s="76" t="n"/>
    </x:row>
    <x:row r="4">
      <x:c r="A4" s="26" t="inlineStr">
        <x:is>
          <x:t xml:space="preserve">Input</x:t>
        </x:is>
      </x:c>
      <x:c r="B4" s="27" t="inlineStr">
        <x:is>
          <x:t xml:space="preserve">Research-grade</x:t>
        </x:is>
      </x:c>
      <x:c r="C4" s="27" t="inlineStr">
        <x:is>
          <x:t xml:space="preserve">Illustrative operational</x:t>
        </x:is>
      </x:c>
      <x:c r="D4" s="28" t="inlineStr">
        <x:is>
          <x:t xml:space="preserve">Unit / basis</x:t>
        </x:is>
      </x:c>
    </x:row>
    <x:row r="5">
      <x:c r="A5" s="60" t="inlineStr">
        <x:is>
          <x:t xml:space="preserve">Cohort size</x:t>
        </x:is>
      </x:c>
      <x:c r="B5" s="142" t="n">
        <x:v>300</x:v>
      </x:c>
      <x:c r="C5" s="142" t="n">
        <x:v>300</x:v>
      </x:c>
      <x:c r="D5" s="62" t="inlineStr">
        <x:is>
          <x:t xml:space="preserve">students</x:t>
        </x:is>
      </x:c>
    </x:row>
    <x:row r="6">
      <x:c r="A6" s="63" t="inlineStr">
        <x:is>
          <x:t xml:space="preserve">Authentication event length</x:t>
        </x:is>
      </x:c>
      <x:c r="B6" s="142" t="n">
        <x:v>5</x:v>
      </x:c>
      <x:c r="C6" s="142" t="n">
        <x:v>5</x:v>
      </x:c>
      <x:c r="D6" s="65" t="inlineStr">
        <x:is>
          <x:t xml:space="preserve">minutes per student</x:t>
        </x:is>
      </x:c>
    </x:row>
    <x:row r="7">
      <x:c r="A7" s="63" t="inlineStr">
        <x:is>
          <x:t xml:space="preserve">Scheduled slot length</x:t>
        </x:is>
      </x:c>
      <x:c r="B7" s="142" t="n">
        <x:v>7</x:v>
      </x:c>
      <x:c r="C7" s="142" t="n">
        <x:v>7</x:v>
      </x:c>
      <x:c r="D7" s="65" t="inlineStr">
        <x:is>
          <x:t xml:space="preserve">minutes incl. transition</x:t>
        </x:is>
      </x:c>
    </x:row>
    <x:row r="8">
      <x:c r="A8" s="63" t="inlineStr">
        <x:is>
          <x:t xml:space="preserve">Independent second-rating proportion</x:t>
        </x:is>
      </x:c>
      <x:c r="B8" s="143" t="n">
        <x:v>1</x:v>
      </x:c>
      <x:c r="C8" s="143" t="n">
        <x:v>0.2</x:v>
      </x:c>
      <x:c r="D8" s="65" t="inlineStr">
        <x:is>
          <x:t xml:space="preserve">fraction of events</x:t>
        </x:is>
      </x:c>
    </x:row>
    <x:row r="9">
      <x:c r="A9" s="63" t="inlineStr">
        <x:is>
          <x:t xml:space="preserve">Third-rating proportion</x:t>
        </x:is>
      </x:c>
      <x:c r="B9" s="143" t="n">
        <x:v>0.1</x:v>
      </x:c>
      <x:c r="C9" s="143" t="n">
        <x:v>0.02</x:v>
      </x:c>
      <x:c r="D9" s="65" t="inlineStr">
        <x:is>
          <x:t xml:space="preserve">fraction of events</x:t>
        </x:is>
      </x:c>
    </x:row>
    <x:row r="10">
      <x:c r="A10" s="63" t="inlineStr">
        <x:is>
          <x:t xml:space="preserve">Scheduling &amp; administration factor</x:t>
        </x:is>
      </x:c>
      <x:c r="B10" s="143" t="n">
        <x:v>0.25</x:v>
      </x:c>
      <x:c r="C10" s="143" t="n">
        <x:v>0.25</x:v>
      </x:c>
      <x:c r="D10" s="65" t="inlineStr">
        <x:is>
          <x:t xml:space="preserve">share of live-event hours</x:t>
        </x:is>
      </x:c>
    </x:row>
    <x:row r="11">
      <x:c r="A11" s="63" t="inlineStr">
        <x:is>
          <x:t xml:space="preserve">Replacement / no-show administration</x:t>
        </x:is>
      </x:c>
      <x:c r="B11" s="144" t="n">
        <x:v>2</x:v>
      </x:c>
      <x:c r="C11" s="144" t="n">
        <x:v>2</x:v>
      </x:c>
      <x:c r="D11" s="65" t="inlineStr">
        <x:is>
          <x:t xml:space="preserve">hours</x:t>
        </x:is>
      </x:c>
    </x:row>
    <x:row r="12">
      <x:c r="A12" s="63" t="inlineStr">
        <x:is>
          <x:t xml:space="preserve">Per-cycle recalibration</x:t>
        </x:is>
      </x:c>
      <x:c r="B12" s="144" t="n">
        <x:v>1.5</x:v>
      </x:c>
      <x:c r="C12" s="144" t="n">
        <x:v>1.5</x:v>
      </x:c>
      <x:c r="D12" s="65" t="inlineStr">
        <x:is>
          <x:t xml:space="preserve">hours</x:t>
        </x:is>
      </x:c>
    </x:row>
    <x:row r="13">
      <x:c r="A13" s="63" t="inlineStr">
        <x:is>
          <x:t xml:space="preserve">Moderation sample proportion</x:t>
        </x:is>
      </x:c>
      <x:c r="B13" s="143" t="n">
        <x:v>0.2</x:v>
      </x:c>
      <x:c r="C13" s="143" t="n">
        <x:v>0.2</x:v>
      </x:c>
      <x:c r="D13" s="65" t="inlineStr">
        <x:is>
          <x:t xml:space="preserve">fraction of events</x:t>
        </x:is>
      </x:c>
    </x:row>
    <x:row r="14">
      <x:c r="A14" s="63" t="inlineStr">
        <x:is>
          <x:t xml:space="preserve">Moderation discussion</x:t>
        </x:is>
      </x:c>
      <x:c r="B14" s="144" t="n">
        <x:v>2</x:v>
      </x:c>
      <x:c r="C14" s="144" t="n">
        <x:v>2</x:v>
      </x:c>
      <x:c r="D14" s="65" t="inlineStr">
        <x:is>
          <x:t xml:space="preserve">hours</x:t>
        </x:is>
      </x:c>
    </x:row>
    <x:row r="15">
      <x:c r="A15" s="63" t="inlineStr">
        <x:is>
          <x:t xml:space="preserve">Accessibility cases proportion</x:t>
        </x:is>
      </x:c>
      <x:c r="B15" s="143" t="n">
        <x:v>0.05</x:v>
      </x:c>
      <x:c r="C15" s="143" t="n">
        <x:v>0.05</x:v>
      </x:c>
      <x:c r="D15" s="65" t="inlineStr">
        <x:is>
          <x:t xml:space="preserve">fraction of cohort</x:t>
        </x:is>
      </x:c>
    </x:row>
    <x:row r="16">
      <x:c r="A16" s="63" t="inlineStr">
        <x:is>
          <x:t xml:space="preserve">Alternative-format allowance</x:t>
        </x:is>
      </x:c>
      <x:c r="B16" s="142" t="n">
        <x:v>10</x:v>
      </x:c>
      <x:c r="C16" s="142" t="n">
        <x:v>10</x:v>
      </x:c>
      <x:c r="D16" s="65" t="inlineStr">
        <x:is>
          <x:t xml:space="preserve">minutes per affected student</x:t>
        </x:is>
      </x:c>
    </x:row>
    <x:row r="17">
      <x:c r="A17" s="63" t="inlineStr">
        <x:is>
          <x:t xml:space="preserve">Decision recording</x:t>
        </x:is>
      </x:c>
      <x:c r="B17" s="142" t="n">
        <x:v>1</x:v>
      </x:c>
      <x:c r="C17" s="142" t="n">
        <x:v>1</x:v>
      </x:c>
      <x:c r="D17" s="65" t="inlineStr">
        <x:is>
          <x:t xml:space="preserve">minutes per student</x:t>
        </x:is>
      </x:c>
    </x:row>
    <x:row r="18">
      <x:c r="A18" s="63" t="inlineStr">
        <x:is>
          <x:t xml:space="preserve">Asynchronous evidence-review proportion</x:t>
        </x:is>
      </x:c>
      <x:c r="B18" s="143" t="n">
        <x:v>0.1</x:v>
      </x:c>
      <x:c r="C18" s="143" t="n">
        <x:v>0.1</x:v>
      </x:c>
      <x:c r="D18" s="65" t="inlineStr">
        <x:is>
          <x:t xml:space="preserve">fraction of cohort</x:t>
        </x:is>
      </x:c>
    </x:row>
    <x:row r="19">
      <x:c r="A19" s="63" t="inlineStr">
        <x:is>
          <x:t xml:space="preserve">Asynchronous review time</x:t>
        </x:is>
      </x:c>
      <x:c r="B19" s="144" t="n">
        <x:v>6</x:v>
      </x:c>
      <x:c r="C19" s="144" t="n">
        <x:v>6</x:v>
      </x:c>
      <x:c r="D19" s="65" t="inlineStr">
        <x:is>
          <x:t xml:space="preserve">minutes per selected student</x:t>
        </x:is>
      </x:c>
    </x:row>
    <x:row r="20">
      <x:c r="A20" s="63" t="inlineStr">
        <x:is>
          <x:t xml:space="preserve">Recording review</x:t>
        </x:is>
      </x:c>
      <x:c r="B20" s="144" t="n">
        <x:v>3</x:v>
      </x:c>
      <x:c r="C20" s="144" t="n">
        <x:v>3</x:v>
      </x:c>
      <x:c r="D20" s="65" t="inlineStr">
        <x:is>
          <x:t xml:space="preserve">hours</x:t>
        </x:is>
      </x:c>
    </x:row>
    <x:row r="21">
      <x:c r="A21" s="63" t="inlineStr">
        <x:is>
          <x:t xml:space="preserve">Data handling</x:t>
        </x:is>
      </x:c>
      <x:c r="B21" s="144" t="n">
        <x:v>2</x:v>
      </x:c>
      <x:c r="C21" s="144" t="n">
        <x:v>2</x:v>
      </x:c>
      <x:c r="D21" s="65" t="inlineStr">
        <x:is>
          <x:t xml:space="preserve">hours</x:t>
        </x:is>
      </x:c>
    </x:row>
    <x:row r="22">
      <x:c r="A22" s="63" t="inlineStr">
        <x:is>
          <x:t xml:space="preserve">Appeal / follow-up rate</x:t>
        </x:is>
      </x:c>
      <x:c r="B22" s="143" t="n">
        <x:v>0.03</x:v>
      </x:c>
      <x:c r="C22" s="143" t="n">
        <x:v>0.03</x:v>
      </x:c>
      <x:c r="D22" s="65" t="inlineStr">
        <x:is>
          <x:t xml:space="preserve">fraction of cohort</x:t>
        </x:is>
      </x:c>
    </x:row>
    <x:row r="23">
      <x:c r="A23" s="63" t="inlineStr">
        <x:is>
          <x:t xml:space="preserve">Appeal / follow-up time</x:t>
        </x:is>
      </x:c>
      <x:c r="B23" s="144" t="n">
        <x:v>0.5</x:v>
      </x:c>
      <x:c r="C23" s="144" t="n">
        <x:v>0.5</x:v>
      </x:c>
      <x:c r="D23" s="65" t="inlineStr">
        <x:is>
          <x:t xml:space="preserve">hours per case</x:t>
        </x:is>
      </x:c>
    </x:row>
    <x:row r="24">
      <x:c r="A24" s="63" t="inlineStr">
        <x:is>
          <x:t xml:space="preserve">One-off assessment design</x:t>
        </x:is>
      </x:c>
      <x:c r="B24" s="144" t="n">
        <x:v>30</x:v>
      </x:c>
      <x:c r="C24" s="144" t="n">
        <x:v>30</x:v>
      </x:c>
      <x:c r="D24" s="65" t="inlineStr">
        <x:is>
          <x:t xml:space="preserve">hours</x:t>
        </x:is>
      </x:c>
    </x:row>
    <x:row r="25">
      <x:c r="A25" s="63" t="inlineStr">
        <x:is>
          <x:t xml:space="preserve">Assessor training</x:t>
        </x:is>
      </x:c>
      <x:c r="B25" s="144" t="n">
        <x:v>6</x:v>
      </x:c>
      <x:c r="C25" s="144" t="n">
        <x:v>6</x:v>
      </x:c>
      <x:c r="D25" s="65" t="inlineStr">
        <x:is>
          <x:t xml:space="preserve">hours</x:t>
        </x:is>
      </x:c>
    </x:row>
    <x:row r="26">
      <x:c r="A26" s="63" t="inlineStr">
        <x:is>
          <x:t xml:space="preserve">Initial calibration</x:t>
        </x:is>
      </x:c>
      <x:c r="B26" s="144" t="n">
        <x:v>2</x:v>
      </x:c>
      <x:c r="C26" s="144" t="n">
        <x:v>2</x:v>
      </x:c>
      <x:c r="D26" s="65" t="inlineStr">
        <x:is>
          <x:t xml:space="preserve">hours</x:t>
        </x:is>
      </x:c>
    </x:row>
    <x:row r="27">
      <x:c r="A27" s="63" t="inlineStr">
        <x:is>
          <x:t xml:space="preserve">Maximum continuous session</x:t>
        </x:is>
      </x:c>
      <x:c r="B27" s="142" t="n">
        <x:v>90</x:v>
      </x:c>
      <x:c r="C27" s="142" t="n">
        <x:v>90</x:v>
      </x:c>
      <x:c r="D27" s="65" t="inlineStr">
        <x:is>
          <x:t xml:space="preserve">minutes</x:t>
        </x:is>
      </x:c>
    </x:row>
    <x:row r="28">
      <x:c r="A28" s="66" t="inlineStr">
        <x:is>
          <x:t xml:space="preserve">Break after session</x:t>
        </x:is>
      </x:c>
      <x:c r="B28" s="142" t="n">
        <x:v>15</x:v>
      </x:c>
      <x:c r="C28" s="142" t="n">
        <x:v>15</x:v>
      </x:c>
      <x:c r="D28" s="68" t="inlineStr">
        <x:is>
          <x:t xml:space="preserve">minutes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style="46" customWidth="1"/>
    <x:col min="2" max="2" width="16" style="46" customWidth="1"/>
    <x:col min="3" max="3" width="16" style="46" customWidth="1"/>
    <x:col min="4" max="4" width="31" style="46" customWidth="1"/>
    <x:col min="5" max="5" width="34" style="46" customWidth="1"/>
  </x:cols>
  <x:sheetData>
    <x:row r="1" s="46" customFormat="1" ht="28" customHeight="1">
      <x:c r="A1" s="140" t="inlineStr">
        <x:is>
          <x:t xml:space="preserve">Scenario Comparison</x:t>
        </x:is>
      </x:c>
      <x:c r="B1" s="76" t="n"/>
      <x:c r="C1" s="76" t="n"/>
      <x:c r="D1" s="76" t="n"/>
      <x:c r="E1" s="76" t="n"/>
    </x:row>
    <x:row r="3">
      <x:c r="A3" s="26" t="inlineStr">
        <x:is>
          <x:t xml:space="preserve">Component</x:t>
        </x:is>
      </x:c>
      <x:c r="B3" s="27" t="inlineStr">
        <x:is>
          <x:t xml:space="preserve">Research-grade</x:t>
        </x:is>
      </x:c>
      <x:c r="C3" s="27" t="inlineStr">
        <x:is>
          <x:t xml:space="preserve">Operational</x:t>
        </x:is>
      </x:c>
      <x:c r="D3" s="27" t="inlineStr">
        <x:is>
          <x:t xml:space="preserve">Formula / basis</x:t>
        </x:is>
      </x:c>
      <x:c r="E3" s="28" t="inlineStr">
        <x:is>
          <x:t xml:space="preserve">Interpretation</x:t>
        </x:is>
      </x:c>
    </x:row>
    <x:row r="4">
      <x:c r="A4" s="60" t="inlineStr">
        <x:is>
          <x:t xml:space="preserve">First rating / live event</x:t>
        </x:is>
      </x:c>
      <x:c r="B4" s="145" t="n">
        <x:f>Inputs!B5*Inputs!B6/60</x:f>
        <x:v>25</x:v>
      </x:c>
      <x:c r="C4" s="145" t="n">
        <x:f>Inputs!C5*Inputs!C6/60</x:f>
        <x:v>25</x:v>
      </x:c>
      <x:c r="D4" s="61" t="inlineStr">
        <x:is>
          <x:t xml:space="preserve">cohort × event minutes / 60</x:t>
        </x:is>
      </x:c>
      <x:c r="E4" s="62" t="inlineStr">
        <x:is>
          <x:t xml:space="preserve">Nominal live rating burden</x:t>
        </x:is>
      </x:c>
    </x:row>
    <x:row r="5">
      <x:c r="A5" s="63" t="inlineStr">
        <x:is>
          <x:t xml:space="preserve">Independent second rating</x:t>
        </x:is>
      </x:c>
      <x:c r="B5" s="146" t="n">
        <x:f>B4*Inputs!B8</x:f>
        <x:v>25</x:v>
      </x:c>
      <x:c r="C5" s="146" t="n">
        <x:f>C4*Inputs!C8</x:f>
        <x:v>5</x:v>
      </x:c>
      <x:c r="D5" s="64" t="inlineStr">
        <x:is>
          <x:t xml:space="preserve">first rating × second-rate proportion</x:t>
        </x:is>
      </x:c>
      <x:c r="E5" s="65" t="inlineStr">
        <x:is>
          <x:t xml:space="preserve">Reliability / moderation choice</x:t>
        </x:is>
      </x:c>
    </x:row>
    <x:row r="6">
      <x:c r="A6" s="63" t="inlineStr">
        <x:is>
          <x:t xml:space="preserve">Third rating</x:t>
        </x:is>
      </x:c>
      <x:c r="B6" s="146" t="n">
        <x:f>B4*Inputs!B9</x:f>
        <x:v>2.5</x:v>
      </x:c>
      <x:c r="C6" s="146" t="n">
        <x:f>C4*Inputs!C9</x:f>
        <x:v>0.5</x:v>
      </x:c>
      <x:c r="D6" s="64" t="inlineStr">
        <x:is>
          <x:t xml:space="preserve">first rating × third-rate proportion</x:t>
        </x:is>
      </x:c>
      <x:c r="E6" s="65" t="inlineStr">
        <x:is>
          <x:t xml:space="preserve">Disagreement / drift diagnostic</x:t>
        </x:is>
      </x:c>
    </x:row>
    <x:row r="7">
      <x:c r="A7" s="109" t="inlineStr">
        <x:is>
          <x:t xml:space="preserve">Rating subtotal</x:t>
        </x:is>
      </x:c>
      <x:c r="B7" s="147" t="n">
        <x:f>SUM(B4:B6)</x:f>
        <x:v>52.5</x:v>
      </x:c>
      <x:c r="C7" s="147" t="n">
        <x:f>SUM(C4:C6)</x:f>
        <x:v>30.5</x:v>
      </x:c>
      <x:c r="D7" s="110" t="inlineStr">
        <x:is>
          <x:t xml:space="preserve">sum of rating rows</x:t>
        </x:is>
      </x:c>
      <x:c r="E7" s="111" t="inlineStr">
        <x:is>
          <x:t xml:space="preserve">Rating burden only</x:t>
        </x:is>
      </x:c>
    </x:row>
    <x:row r="8">
      <x:c r="A8" s="63" t="inlineStr">
        <x:is>
          <x:t xml:space="preserve">Scheduling and administration</x:t>
        </x:is>
      </x:c>
      <x:c r="B8" s="146" t="n">
        <x:f>B4*Inputs!B10</x:f>
        <x:v>6.25</x:v>
      </x:c>
      <x:c r="C8" s="146" t="n">
        <x:f>C4*Inputs!C10</x:f>
        <x:v>6.25</x:v>
      </x:c>
      <x:c r="D8" s="64" t="inlineStr">
        <x:is>
          <x:t xml:space="preserve">first rating × admin factor</x:t>
        </x:is>
      </x:c>
      <x:c r="E8" s="65" t="inlineStr">
        <x:is>
          <x:t xml:space="preserve">Scheduling, communication, roster work</x:t>
        </x:is>
      </x:c>
    </x:row>
    <x:row r="9">
      <x:c r="A9" s="63" t="inlineStr">
        <x:is>
          <x:t xml:space="preserve">Replacement / no-show administration</x:t>
        </x:is>
      </x:c>
      <x:c r="B9" s="146" t="n">
        <x:f>Inputs!B11</x:f>
        <x:v>2</x:v>
      </x:c>
      <x:c r="C9" s="146" t="n">
        <x:f>Inputs!C11</x:f>
        <x:v>2</x:v>
      </x:c>
      <x:c r="D9" s="64" t="inlineStr">
        <x:is>
          <x:t xml:space="preserve">editable local assumption</x:t>
        </x:is>
      </x:c>
      <x:c r="E9" s="65" t="inlineStr">
        <x:is>
          <x:t xml:space="preserve">Replacement events and exceptions</x:t>
        </x:is>
      </x:c>
    </x:row>
    <x:row r="10">
      <x:c r="A10" s="63" t="inlineStr">
        <x:is>
          <x:t xml:space="preserve">Per-cycle recalibration</x:t>
        </x:is>
      </x:c>
      <x:c r="B10" s="146" t="n">
        <x:f>Inputs!B12</x:f>
        <x:v>1.5</x:v>
      </x:c>
      <x:c r="C10" s="146" t="n">
        <x:f>Inputs!C12</x:f>
        <x:v>1.5</x:v>
      </x:c>
      <x:c r="D10" s="64" t="inlineStr">
        <x:is>
          <x:t xml:space="preserve">editable local assumption</x:t>
        </x:is>
      </x:c>
      <x:c r="E10" s="65" t="inlineStr">
        <x:is>
          <x:t xml:space="preserve">Recurring calibration</x:t>
        </x:is>
      </x:c>
    </x:row>
    <x:row r="11">
      <x:c r="A11" s="63" t="inlineStr">
        <x:is>
          <x:t xml:space="preserve">Moderation review</x:t>
        </x:is>
      </x:c>
      <x:c r="B11" s="146" t="n">
        <x:f>Inputs!B5*Inputs!B13*Inputs!B6/60</x:f>
        <x:v>5</x:v>
      </x:c>
      <x:c r="C11" s="146" t="n">
        <x:f>Inputs!C5*Inputs!C13*Inputs!C6/60</x:f>
        <x:v>5</x:v>
      </x:c>
      <x:c r="D11" s="64" t="inlineStr">
        <x:is>
          <x:t xml:space="preserve">cohort × sample × event minutes / 60</x:t>
        </x:is>
      </x:c>
      <x:c r="E11" s="65" t="inlineStr">
        <x:is>
          <x:t xml:space="preserve">Sample review</x:t>
        </x:is>
      </x:c>
    </x:row>
    <x:row r="12">
      <x:c r="A12" s="63" t="inlineStr">
        <x:is>
          <x:t xml:space="preserve">Moderation discussion</x:t>
        </x:is>
      </x:c>
      <x:c r="B12" s="146" t="n">
        <x:f>Inputs!B14</x:f>
        <x:v>2</x:v>
      </x:c>
      <x:c r="C12" s="146" t="n">
        <x:f>Inputs!C14</x:f>
        <x:v>2</x:v>
      </x:c>
      <x:c r="D12" s="64" t="inlineStr">
        <x:is>
          <x:t xml:space="preserve">editable local assumption</x:t>
        </x:is>
      </x:c>
      <x:c r="E12" s="65" t="inlineStr">
        <x:is>
          <x:t xml:space="preserve">Panel follow-up</x:t>
        </x:is>
      </x:c>
    </x:row>
    <x:row r="13">
      <x:c r="A13" s="63" t="inlineStr">
        <x:is>
          <x:t xml:space="preserve">Accessibility / alternative-format allowance</x:t>
        </x:is>
      </x:c>
      <x:c r="B13" s="146" t="n">
        <x:f>Inputs!B5*Inputs!B15*Inputs!B16/60</x:f>
        <x:v>2.5</x:v>
      </x:c>
      <x:c r="C13" s="146" t="n">
        <x:f>Inputs!C5*Inputs!C15*Inputs!C16/60</x:f>
        <x:v>2.5</x:v>
      </x:c>
      <x:c r="D13" s="64" t="inlineStr">
        <x:is>
          <x:t xml:space="preserve">cohort × cases × minutes / 60</x:t>
        </x:is>
      </x:c>
      <x:c r="E13" s="65" t="inlineStr">
        <x:is>
          <x:t xml:space="preserve">Additional route burden</x:t>
        </x:is>
      </x:c>
    </x:row>
    <x:row r="14">
      <x:c r="A14" s="63" t="inlineStr">
        <x:is>
          <x:t xml:space="preserve">Decision recording</x:t>
        </x:is>
      </x:c>
      <x:c r="B14" s="146" t="n">
        <x:f>Inputs!B5*Inputs!B17/60</x:f>
        <x:v>5</x:v>
      </x:c>
      <x:c r="C14" s="146" t="n">
        <x:f>Inputs!C5*Inputs!C17/60</x:f>
        <x:v>5</x:v>
      </x:c>
      <x:c r="D14" s="64" t="inlineStr">
        <x:is>
          <x:t xml:space="preserve">cohort × minutes / 60</x:t>
        </x:is>
      </x:c>
      <x:c r="E14" s="65" t="inlineStr">
        <x:is>
          <x:t xml:space="preserve">Individual decision record</x:t>
        </x:is>
      </x:c>
    </x:row>
    <x:row r="15">
      <x:c r="A15" s="63" t="inlineStr">
        <x:is>
          <x:t xml:space="preserve">Asynchronous evidence review</x:t>
        </x:is>
      </x:c>
      <x:c r="B15" s="146" t="n">
        <x:f>Inputs!B5*Inputs!B18*Inputs!B19/60</x:f>
        <x:v>3</x:v>
      </x:c>
      <x:c r="C15" s="146" t="n">
        <x:f>Inputs!C5*Inputs!C18*Inputs!C19/60</x:f>
        <x:v>3</x:v>
      </x:c>
      <x:c r="D15" s="64" t="inlineStr">
        <x:is>
          <x:t xml:space="preserve">cohort × sample × minutes / 60</x:t>
        </x:is>
      </x:c>
      <x:c r="E15" s="65" t="inlineStr">
        <x:is>
          <x:t xml:space="preserve">Selected evidence review</x:t>
        </x:is>
      </x:c>
    </x:row>
    <x:row r="16">
      <x:c r="A16" s="63" t="inlineStr">
        <x:is>
          <x:t xml:space="preserve">Recording and data handling</x:t>
        </x:is>
      </x:c>
      <x:c r="B16" s="146" t="n">
        <x:f>Inputs!B20+Inputs!B21</x:f>
        <x:v>5</x:v>
      </x:c>
      <x:c r="C16" s="146" t="n">
        <x:f>Inputs!C20+Inputs!C21</x:f>
        <x:v>5</x:v>
      </x:c>
      <x:c r="D16" s="64" t="inlineStr">
        <x:is>
          <x:t xml:space="preserve">recording review + data handling</x:t>
        </x:is>
      </x:c>
      <x:c r="E16" s="65" t="inlineStr">
        <x:is>
          <x:t xml:space="preserve">Governance burden</x:t>
        </x:is>
      </x:c>
    </x:row>
    <x:row r="17">
      <x:c r="A17" s="63" t="inlineStr">
        <x:is>
          <x:t xml:space="preserve">Appeals and follow-up</x:t>
        </x:is>
      </x:c>
      <x:c r="B17" s="146" t="n">
        <x:f>Inputs!B5*Inputs!B22*Inputs!B23</x:f>
        <x:v>4.5</x:v>
      </x:c>
      <x:c r="C17" s="146" t="n">
        <x:f>Inputs!C5*Inputs!C22*Inputs!C23</x:f>
        <x:v>4.5</x:v>
      </x:c>
      <x:c r="D17" s="64" t="inlineStr">
        <x:is>
          <x:t xml:space="preserve">cohort × rate × hours</x:t>
        </x:is>
      </x:c>
      <x:c r="E17" s="65" t="inlineStr">
        <x:is>
          <x:t xml:space="preserve">Review and appeal work</x:t>
        </x:is>
      </x:c>
    </x:row>
    <x:row r="18">
      <x:c r="A18" s="109" t="inlineStr">
        <x:is>
          <x:t xml:space="preserve">Recurring total</x:t>
        </x:is>
      </x:c>
      <x:c r="B18" s="147" t="n">
        <x:f>SUM(B7:B17)</x:f>
        <x:v>89.25</x:v>
      </x:c>
      <x:c r="C18" s="147" t="n">
        <x:f>SUM(C7:C17)</x:f>
        <x:v>67.25</x:v>
      </x:c>
      <x:c r="D18" s="110" t="inlineStr">
        <x:is>
          <x:t xml:space="preserve">rating subtotal + recurring support</x:t>
        </x:is>
      </x:c>
      <x:c r="E18" s="111" t="inlineStr">
        <x:is>
          <x:t xml:space="preserve">Primary capacity signal</x:t>
        </x:is>
      </x:c>
    </x:row>
    <x:row r="19">
      <x:c r="A19" s="109" t="inlineStr">
        <x:is>
          <x:t xml:space="preserve">Staff-hours per student</x:t>
        </x:is>
      </x:c>
      <x:c r="B19" s="147" t="n">
        <x:f>B18/Inputs!B5</x:f>
        <x:v>0.2975</x:v>
      </x:c>
      <x:c r="C19" s="147" t="n">
        <x:f>C18/Inputs!C5</x:f>
        <x:v>0.22416666666666665</x:v>
      </x:c>
      <x:c r="D19" s="110" t="inlineStr">
        <x:is>
          <x:t xml:space="preserve">recurring total / cohort</x:t>
        </x:is>
      </x:c>
      <x:c r="E19" s="111" t="inlineStr">
        <x:is>
          <x:t xml:space="preserve">Comparable local burden</x:t>
        </x:is>
      </x:c>
    </x:row>
    <x:row r="20">
      <x:c r="A20" s="109" t="inlineStr">
        <x:is>
          <x:t xml:space="preserve">One-off design, training, calibration</x:t>
        </x:is>
      </x:c>
      <x:c r="B20" s="147" t="n">
        <x:f>SUM(Inputs!B24:B26)</x:f>
        <x:v>38</x:v>
      </x:c>
      <x:c r="C20" s="147" t="n">
        <x:f>SUM(Inputs!C24:C26)</x:f>
        <x:v>38</x:v>
      </x:c>
      <x:c r="D20" s="110" t="inlineStr">
        <x:is>
          <x:t xml:space="preserve">design + training + initial calibration</x:t>
        </x:is>
      </x:c>
      <x:c r="E20" s="111" t="inlineStr">
        <x:is>
          <x:t xml:space="preserve">Startup cost</x:t>
        </x:is>
      </x:c>
    </x:row>
    <x:row r="21">
      <x:c r="A21" s="109" t="inlineStr">
        <x:is>
          <x:t xml:space="preserve">First-cycle total</x:t>
        </x:is>
      </x:c>
      <x:c r="B21" s="147" t="n">
        <x:f>B18+B20</x:f>
        <x:v>127.25</x:v>
      </x:c>
      <x:c r="C21" s="147" t="n">
        <x:f>C18+C20</x:f>
        <x:v>105.25</x:v>
      </x:c>
      <x:c r="D21" s="110" t="inlineStr">
        <x:is>
          <x:t xml:space="preserve">recurring + one-off</x:t>
        </x:is>
      </x:c>
      <x:c r="E21" s="111" t="inlineStr">
        <x:is>
          <x:t xml:space="preserve">First implementation cycle</x:t>
        </x:is>
      </x:c>
    </x:row>
    <x:row r="22">
      <x:c r="A22" s="109" t="inlineStr">
        <x:is>
          <x:t xml:space="preserve">Live-event multiplier</x:t>
        </x:is>
      </x:c>
      <x:c r="B22" s="147" t="n">
        <x:f>B18/B4</x:f>
        <x:v>3.57</x:v>
      </x:c>
      <x:c r="C22" s="147" t="n">
        <x:f>C18/C4</x:f>
        <x:v>2.69</x:v>
      </x:c>
      <x:c r="D22" s="110" t="inlineStr">
        <x:is>
          <x:t xml:space="preserve">recurring / nominal live hours</x:t>
        </x:is>
      </x:c>
      <x:c r="E22" s="111" t="inlineStr">
        <x:is>
          <x:t xml:space="preserve">Shows hidden implementation burden</x:t>
        </x:is>
      </x:c>
    </x:row>
    <x:row r="23">
      <x:c r="A23" s="109" t="inlineStr">
        <x:is>
          <x:t xml:space="preserve">Scheduled elapsed time</x:t>
        </x:is>
      </x:c>
      <x:c r="B23" s="147" t="n">
        <x:f>Inputs!B5*Inputs!B7/60</x:f>
        <x:v>35</x:v>
      </x:c>
      <x:c r="C23" s="147" t="n">
        <x:f>Inputs!C5*Inputs!C7/60</x:f>
        <x:v>35</x:v>
      </x:c>
      <x:c r="D23" s="110" t="inlineStr">
        <x:is>
          <x:t xml:space="preserve">cohort × slot minutes / 60</x:t>
        </x:is>
      </x:c>
      <x:c r="E23" s="111" t="inlineStr">
        <x:is>
          <x:t xml:space="preserve">Before parallel staffing and breaks</x:t>
        </x:is>
      </x:c>
    </x:row>
    <x:row r="24">
      <x:c r="A24" s="121" t="inlineStr">
        <x:is>
          <x:t xml:space="preserve">Break allowance at one-assessor delivery</x:t>
        </x:is>
      </x:c>
      <x:c r="B24" s="148" t="n">
        <x:f>INT(B23/(Inputs!B27/60))*Inputs!B28/60</x:f>
        <x:v>5.75</x:v>
      </x:c>
      <x:c r="C24" s="148" t="n">
        <x:f>INT(C23/(Inputs!C27/60))*Inputs!C28/60</x:f>
        <x:v>5.75</x:v>
      </x:c>
      <x:c r="D24" s="122" t="inlineStr">
        <x:is>
          <x:t xml:space="preserve">session blocks × break minutes</x:t>
        </x:is>
      </x:c>
      <x:c r="E24" s="123" t="inlineStr">
        <x:is>
          <x:t xml:space="preserve">Fatigue and drift control</x:t>
        </x:is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8" style="46" customWidth="1"/>
    <x:col min="2" max="2" width="16" style="46" customWidth="1"/>
    <x:col min="3" max="3" width="22" style="46" customWidth="1"/>
    <x:col min="4" max="4" width="35" style="46" customWidth="1"/>
  </x:cols>
  <x:sheetData>
    <x:row r="1" s="46" customFormat="1" ht="28" customHeight="1">
      <x:c r="A1" s="140" t="inlineStr">
        <x:is>
          <x:t xml:space="preserve">Student Burden</x:t>
        </x:is>
      </x:c>
      <x:c r="B1" s="76" t="n"/>
      <x:c r="C1" s="76" t="n"/>
      <x:c r="D1" s="76" t="n"/>
    </x:row>
    <x:row r="3">
      <x:c r="A3" s="26" t="inlineStr">
        <x:is>
          <x:t xml:space="preserve">Burden component</x:t>
        </x:is>
      </x:c>
      <x:c r="B3" s="27" t="inlineStr">
        <x:is>
          <x:t xml:space="preserve">Editable value</x:t>
        </x:is>
      </x:c>
      <x:c r="C3" s="27" t="inlineStr">
        <x:is>
          <x:t xml:space="preserve">Unit</x:t>
        </x:is>
      </x:c>
      <x:c r="D3" s="28" t="inlineStr">
        <x:is>
          <x:t xml:space="preserve">Pilot reporting field</x:t>
        </x:is>
      </x:c>
    </x:row>
    <x:row r="4">
      <x:c r="A4" s="60" t="inlineStr">
        <x:is>
          <x:t xml:space="preserve">Preparation for authentication</x:t>
        </x:is>
      </x:c>
      <x:c r="B4" s="95" t="n">
        <x:v>15</x:v>
      </x:c>
      <x:c r="C4" s="61" t="inlineStr">
        <x:is>
          <x:t xml:space="preserve">minutes per student</x:t>
        </x:is>
      </x:c>
      <x:c r="D4" s="62" t="inlineStr">
        <x:is>
          <x:t xml:space="preserve">student_preparation_minutes</x:t>
        </x:is>
      </x:c>
    </x:row>
    <x:row r="5">
      <x:c r="A5" s="63" t="inlineStr">
        <x:is>
          <x:t xml:space="preserve">Waiting / arrival / technology setup</x:t>
        </x:is>
      </x:c>
      <x:c r="B5" s="96" t="n">
        <x:v>10</x:v>
      </x:c>
      <x:c r="C5" s="64" t="inlineStr">
        <x:is>
          <x:t xml:space="preserve">minutes per student</x:t>
        </x:is>
      </x:c>
      <x:c r="D5" s="65" t="inlineStr">
        <x:is>
          <x:t xml:space="preserve">student_wait_setup_minutes</x:t>
        </x:is>
      </x:c>
    </x:row>
    <x:row r="6">
      <x:c r="A6" s="63" t="inlineStr">
        <x:is>
          <x:t xml:space="preserve">Authentication event</x:t>
        </x:is>
      </x:c>
      <x:c r="B6" s="96" t="n">
        <x:v>5</x:v>
      </x:c>
      <x:c r="C6" s="64" t="inlineStr">
        <x:is>
          <x:t xml:space="preserve">minutes per student</x:t>
        </x:is>
      </x:c>
      <x:c r="D6" s="65" t="inlineStr">
        <x:is>
          <x:t xml:space="preserve">student_event_minutes</x:t>
        </x:is>
      </x:c>
    </x:row>
    <x:row r="7">
      <x:c r="A7" s="63" t="inlineStr">
        <x:is>
          <x:t xml:space="preserve">Travel to in-person site, if applicable</x:t>
        </x:is>
      </x:c>
      <x:c r="B7" s="96" t="n">
        <x:v>0</x:v>
      </x:c>
      <x:c r="C7" s="64" t="inlineStr">
        <x:is>
          <x:t xml:space="preserve">minutes per student</x:t>
        </x:is>
      </x:c>
      <x:c r="D7" s="65" t="inlineStr">
        <x:is>
          <x:t xml:space="preserve">student_travel_minutes</x:t>
        </x:is>
      </x:c>
    </x:row>
    <x:row r="8">
      <x:c r="A8" s="63" t="inlineStr">
        <x:is>
          <x:t xml:space="preserve">Alternative-format extra time</x:t>
        </x:is>
      </x:c>
      <x:c r="B8" s="96" t="n">
        <x:v>0</x:v>
      </x:c>
      <x:c r="C8" s="64" t="inlineStr">
        <x:is>
          <x:t xml:space="preserve">minutes per affected student</x:t>
        </x:is>
      </x:c>
      <x:c r="D8" s="65" t="inlineStr">
        <x:is>
          <x:t xml:space="preserve">student_alternative_format_extra_minutes</x:t>
        </x:is>
      </x:c>
    </x:row>
    <x:row r="9">
      <x:c r="A9" s="63" t="inlineStr">
        <x:is>
          <x:t xml:space="preserve">Rescheduling burden</x:t>
        </x:is>
      </x:c>
      <x:c r="B9" s="96" t="n">
        <x:v>0</x:v>
      </x:c>
      <x:c r="C9" s="64" t="inlineStr">
        <x:is>
          <x:t xml:space="preserve">minutes per affected student</x:t>
        </x:is>
      </x:c>
      <x:c r="D9" s="65" t="inlineStr">
        <x:is>
          <x:t xml:space="preserve">student_rescheduling_minutes</x:t>
        </x:is>
      </x:c>
    </x:row>
    <x:row r="10">
      <x:c r="A10" s="63" t="inlineStr">
        <x:is>
          <x:t xml:space="preserve">Appeal burden</x:t>
        </x:is>
      </x:c>
      <x:c r="B10" s="96" t="n">
        <x:v>0</x:v>
      </x:c>
      <x:c r="C10" s="64" t="inlineStr">
        <x:is>
          <x:t xml:space="preserve">minutes per appellant</x:t>
        </x:is>
      </x:c>
      <x:c r="D10" s="65" t="inlineStr">
        <x:is>
          <x:t xml:space="preserve">student_appeal_minutes</x:t>
        </x:is>
      </x:c>
    </x:row>
    <x:row r="11">
      <x:c r="A11" s="121" t="inlineStr">
        <x:is>
          <x:t xml:space="preserve">Estimated total baseline burden</x:t>
        </x:is>
      </x:c>
      <x:c r="B11" s="122" t="n">
        <x:f>Inputs!B5*SUM(B4:B7)/60</x:f>
        <x:v>150</x:v>
      </x:c>
      <x:c r="C11" s="122" t="inlineStr">
        <x:is>
          <x:t xml:space="preserve">hours across cohort</x:t>
        </x:is>
      </x:c>
      <x:c r="D11" s="123" t="inlineStr">
        <x:is>
          <x:t xml:space="preserve">computed, not a validity claim</x:t>
        </x:is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8" style="46" customWidth="1"/>
    <x:col min="2" max="2" width="15" style="46" customWidth="1"/>
    <x:col min="3" max="3" width="19" style="46" customWidth="1"/>
    <x:col min="4" max="4" width="18" style="46" customWidth="1"/>
    <x:col min="5" max="5" width="36" style="46" customWidth="1"/>
  </x:cols>
  <x:sheetData>
    <x:row r="1" s="46" customFormat="1" ht="28" customHeight="1">
      <x:c r="A1" s="140" t="inlineStr">
        <x:is>
          <x:t xml:space="preserve">Local Comparator</x:t>
        </x:is>
      </x:c>
      <x:c r="B1" s="76" t="n"/>
      <x:c r="C1" s="76" t="n"/>
      <x:c r="D1" s="76" t="n"/>
      <x:c r="E1" s="76" t="n"/>
    </x:row>
    <x:row r="2" s="46" customFormat="1" ht="42" customHeight="1">
      <x:c r="A2" s="141" t="inlineStr">
        <x:is>
          <x:t xml:space="preserve">Configure the assessment route that AIAP authentication would replace or supplement. The default illustration is not evidence that AIAP is cheaper or better: compare construct coverage, reliability, decision utility, equity, privacy, accessibility, appeal protection, and total staff/student burden.</x:t>
        </x:is>
      </x:c>
      <x:c r="B2" s="76" t="n"/>
      <x:c r="C2" s="76" t="n"/>
      <x:c r="D2" s="76" t="n"/>
      <x:c r="E2" s="76" t="n"/>
    </x:row>
    <x:row r="4">
      <x:c r="A4" s="26" t="inlineStr">
        <x:is>
          <x:t xml:space="preserve">Comparator component</x:t>
        </x:is>
      </x:c>
      <x:c r="B4" s="27" t="inlineStr">
        <x:is>
          <x:t xml:space="preserve">Input</x:t>
        </x:is>
      </x:c>
      <x:c r="C4" s="27" t="inlineStr">
        <x:is>
          <x:t xml:space="preserve">Unit</x:t>
        </x:is>
      </x:c>
      <x:c r="D4" s="27" t="inlineStr">
        <x:is>
          <x:t xml:space="preserve">Formula output</x:t>
        </x:is>
      </x:c>
      <x:c r="E4" s="28" t="inlineStr">
        <x:is>
          <x:t xml:space="preserve">Notes</x:t>
        </x:is>
      </x:c>
    </x:row>
    <x:row r="5">
      <x:c r="A5" s="60" t="inlineStr">
        <x:is>
          <x:t xml:space="preserve">Cohort</x:t>
        </x:is>
      </x:c>
      <x:c r="B5" s="95" t="n">
        <x:v>300</x:v>
      </x:c>
      <x:c r="C5" s="61" t="inlineStr">
        <x:is>
          <x:t xml:space="preserve">students</x:t>
        </x:is>
      </x:c>
      <x:c r="D5" s="61" t="n"/>
      <x:c r="E5" s="62" t="inlineStr">
        <x:is>
          <x:t xml:space="preserve">Use matched cohort</x:t>
        </x:is>
      </x:c>
    </x:row>
    <x:row r="6">
      <x:c r="A6" s="63" t="str">
        <x:v>Assessment duration</x:v>
      </x:c>
      <x:c r="B6" s="96" t="n">
        <x:v>60</x:v>
      </x:c>
      <x:c r="C6" s="64" t="str">
        <x:v>minutes per sitting</x:v>
      </x:c>
      <x:c r="D6" s="64"/>
      <x:c r="E6" s="65" t="str">
        <x:v>Total supervised duration of each sitting; do not multiply by cohort.</x:v>
      </x:c>
    </x:row>
    <x:row r="7" s="46" customFormat="1">
      <x:c r="A7" s="94" t="str">
        <x:v>Number of sittings</x:v>
      </x:c>
      <x:c r="B7" s="172" t="n">
        <x:v>1</x:v>
      </x:c>
      <x:c r="C7" s="94" t="str">
        <x:v>sittings</x:v>
      </x:c>
      <x:c r="D7" s="94"/>
      <x:c r="E7" s="94" t="str">
        <x:v>Add sittings when cohort/room capacity requires multiple sessions.</x:v>
      </x:c>
    </x:row>
    <x:row r="8" s="46" customFormat="1">
      <x:c r="A8" s="63" t="str">
        <x:v>Invigilators</x:v>
      </x:c>
      <x:c r="B8" s="96" t="n">
        <x:v>4</x:v>
      </x:c>
      <x:c r="C8" s="64" t="str">
        <x:v>staff</x:v>
      </x:c>
      <x:c r="D8" s="64"/>
      <x:c r="E8" s="65" t="str">
        <x:v>Local room / online supervision design</x:v>
      </x:c>
    </x:row>
    <x:row r="9">
      <x:c r="A9" s="63" t="str">
        <x:v>Invigilation preparation &amp; close-down</x:v>
      </x:c>
      <x:c r="B9" s="96" t="n">
        <x:v>4</x:v>
      </x:c>
      <x:c r="C9" s="64" t="str">
        <x:v>staff-hours</x:v>
      </x:c>
      <x:c r="D9" s="64"/>
      <x:c r="E9" s="65" t="str">
        <x:v>Editable</x:v>
      </x:c>
    </x:row>
    <x:row r="10">
      <x:c r="A10" s="63" t="inlineStr">
        <x:is>
          <x:t xml:space="preserve">Marking time</x:t>
        </x:is>
      </x:c>
      <x:c r="B10" s="96" t="n">
        <x:v>15</x:v>
      </x:c>
      <x:c r="C10" s="64" t="inlineStr">
        <x:is>
          <x:t xml:space="preserve">minutes per script</x:t>
        </x:is>
      </x:c>
      <x:c r="D10" s="64" t="n"/>
      <x:c r="E10" s="65" t="inlineStr">
        <x:is>
          <x:t xml:space="preserve">Must match construct and scoring approach</x:t>
        </x:is>
      </x:c>
    </x:row>
    <x:row r="11">
      <x:c r="A11" s="63" t="inlineStr">
        <x:is>
          <x:t xml:space="preserve">Moderation sample</x:t>
        </x:is>
      </x:c>
      <x:c r="B11" s="143" t="n">
        <x:v>0.1</x:v>
      </x:c>
      <x:c r="C11" s="64" t="inlineStr">
        <x:is>
          <x:t xml:space="preserve">fraction</x:t>
        </x:is>
      </x:c>
      <x:c r="D11" s="64" t="n"/>
      <x:c r="E11" s="65" t="inlineStr">
        <x:is>
          <x:t xml:space="preserve">Editable</x:t>
        </x:is>
      </x:c>
    </x:row>
    <x:row r="12">
      <x:c r="A12" s="63" t="inlineStr">
        <x:is>
          <x:t xml:space="preserve">Moderation time</x:t>
        </x:is>
      </x:c>
      <x:c r="B12" s="96" t="n">
        <x:v>10</x:v>
      </x:c>
      <x:c r="C12" s="64" t="inlineStr">
        <x:is>
          <x:t xml:space="preserve">minutes per sampled script</x:t>
        </x:is>
      </x:c>
      <x:c r="D12" s="64" t="n"/>
      <x:c r="E12" s="65" t="inlineStr">
        <x:is>
          <x:t xml:space="preserve">Editable</x:t>
        </x:is>
      </x:c>
    </x:row>
    <x:row r="13">
      <x:c r="A13" s="63" t="inlineStr">
        <x:is>
          <x:t xml:space="preserve">Accessibility &amp; special arrangements</x:t>
        </x:is>
      </x:c>
      <x:c r="B13" s="96" t="n">
        <x:v>10</x:v>
      </x:c>
      <x:c r="C13" s="64" t="inlineStr">
        <x:is>
          <x:t xml:space="preserve">staff-hours</x:t>
        </x:is>
      </x:c>
      <x:c r="D13" s="64" t="n"/>
      <x:c r="E13" s="65" t="inlineStr">
        <x:is>
          <x:t xml:space="preserve">Editable</x:t>
        </x:is>
      </x:c>
    </x:row>
    <x:row r="14">
      <x:c r="A14" s="63" t="inlineStr">
        <x:is>
          <x:t xml:space="preserve">Scheduling / rooming / technology</x:t>
        </x:is>
      </x:c>
      <x:c r="B14" s="96" t="n">
        <x:v>10</x:v>
      </x:c>
      <x:c r="C14" s="64" t="inlineStr">
        <x:is>
          <x:t xml:space="preserve">staff-hours</x:t>
        </x:is>
      </x:c>
      <x:c r="D14" s="64" t="n"/>
      <x:c r="E14" s="65" t="inlineStr">
        <x:is>
          <x:t xml:space="preserve">Editable</x:t>
        </x:is>
      </x:c>
    </x:row>
    <x:row r="15">
      <x:c r="A15" s="63" t="inlineStr">
        <x:is>
          <x:t xml:space="preserve">Appeals and follow-up</x:t>
        </x:is>
      </x:c>
      <x:c r="B15" s="96" t="n">
        <x:v>5</x:v>
      </x:c>
      <x:c r="C15" s="64" t="inlineStr">
        <x:is>
          <x:t xml:space="preserve">staff-hours</x:t>
        </x:is>
      </x:c>
      <x:c r="D15" s="64" t="n"/>
      <x:c r="E15" s="65" t="inlineStr">
        <x:is>
          <x:t xml:space="preserve">Editable</x:t>
        </x:is>
      </x:c>
    </x:row>
    <x:row r="16">
      <x:c r="A16" s="109" t="str">
        <x:v>Invigilation hours</x:v>
      </x:c>
      <x:c r="B16" s="110"/>
      <x:c r="C16" s="110" t="str">
        <x:v>staff-hours</x:v>
      </x:c>
      <x:c r="D16" s="173" t="n">
        <x:f>B7*B6/60*B8+B9</x:f>
        <x:v>8</x:v>
      </x:c>
      <x:c r="E16" s="111" t="str">
        <x:v>sittings × duration × invigilators + setup</x:v>
      </x:c>
    </x:row>
    <x:row r="17">
      <x:c r="A17" s="109" t="str">
        <x:v>Marking hours</x:v>
      </x:c>
      <x:c r="B17" s="110"/>
      <x:c r="C17" s="110" t="str">
        <x:v>staff-hours</x:v>
      </x:c>
      <x:c r="D17" s="173" t="n">
        <x:f>B5*B10/60</x:f>
        <x:v>75</x:v>
      </x:c>
      <x:c r="E17" s="111" t="str">
        <x:v>cohort × marking minutes</x:v>
      </x:c>
    </x:row>
    <x:row r="18">
      <x:c r="A18" s="109" t="str">
        <x:v>Moderation hours</x:v>
      </x:c>
      <x:c r="B18" s="110"/>
      <x:c r="C18" s="110" t="str">
        <x:v>staff-hours</x:v>
      </x:c>
      <x:c r="D18" s="173" t="n">
        <x:f>B5*B11*B12/60</x:f>
        <x:v>5</x:v>
      </x:c>
      <x:c r="E18" s="111" t="str">
        <x:v>cohort × sample × moderation minutes</x:v>
      </x:c>
    </x:row>
    <x:row r="19">
      <x:c r="A19" s="109" t="str">
        <x:v>Comparator recurring total</x:v>
      </x:c>
      <x:c r="B19" s="110"/>
      <x:c r="C19" s="110" t="str">
        <x:v>staff-hours</x:v>
      </x:c>
      <x:c r="D19" s="173" t="n">
        <x:f>SUM(D16:D18)+B13+B14+B15</x:f>
        <x:v>113</x:v>
      </x:c>
      <x:c r="E19" s="111" t="str">
        <x:v>Like-for-like local estimate</x:v>
      </x:c>
    </x:row>
    <x:row r="20">
      <x:c r="A20" s="121" t="str">
        <x:v>Comparator staff-hours per student</x:v>
      </x:c>
      <x:c r="B20" s="122"/>
      <x:c r="C20" s="122" t="str">
        <x:v>hours/student</x:v>
      </x:c>
      <x:c r="D20" s="174" t="n">
        <x:f>D19/B5</x:f>
        <x:v>0.37666666666666665</x:v>
      </x:c>
      <x:c r="E20" s="123" t="str">
        <x:v>Compare with Scenario Comparison</x:v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8" style="46" customWidth="1"/>
    <x:col min="2" max="2" width="53" style="46" customWidth="1"/>
    <x:col min="3" max="3" width="48" style="46" customWidth="1"/>
  </x:cols>
  <x:sheetData>
    <x:row r="1" s="46" customFormat="1" ht="28" customHeight="1">
      <x:c r="A1" s="140" t="inlineStr">
        <x:is>
          <x:t xml:space="preserve">Use and Interpretation Notes</x:t>
        </x:is>
      </x:c>
      <x:c r="B1" s="76" t="n"/>
      <x:c r="C1" s="76" t="n"/>
    </x:row>
    <x:row r="3">
      <x:c r="A3" s="26" t="inlineStr">
        <x:is>
          <x:t xml:space="preserve">Rule</x:t>
        </x:is>
      </x:c>
      <x:c r="B3" s="27" t="inlineStr">
        <x:is>
          <x:t xml:space="preserve">Meaning</x:t>
        </x:is>
      </x:c>
      <x:c r="C3" s="28" t="inlineStr">
        <x:is>
          <x:t xml:space="preserve">Required local action</x:t>
        </x:is>
      </x:c>
    </x:row>
    <x:row r="4">
      <x:c r="A4" s="60" t="inlineStr">
        <x:is>
          <x:t xml:space="preserve">Not a universal cost constant</x:t>
        </x:is>
      </x:c>
      <x:c r="B4" s="61" t="inlineStr">
        <x:is>
          <x:t xml:space="preserve">The worked scenarios demonstrate accounting structure, not a universal institutional burden.</x:t>
        </x:is>
      </x:c>
      <x:c r="C4" s="62" t="inlineStr">
        <x:is>
          <x:t xml:space="preserve">Replace assumptions with local staffing, scheduling, accessibility, and governance evidence.</x:t>
        </x:is>
      </x:c>
    </x:row>
    <x:row r="5">
      <x:c r="A5" s="63" t="inlineStr">
        <x:is>
          <x:t xml:space="preserve">Parallel staffing</x:t>
        </x:is>
      </x:c>
      <x:c r="B5" s="64" t="inlineStr">
        <x:is>
          <x:t xml:space="preserve">Parallel staff reduce elapsed time but not total staff-hours.</x:t>
        </x:is>
      </x:c>
      <x:c r="C5" s="65" t="inlineStr">
        <x:is>
          <x:t xml:space="preserve">Record both elapsed time and total labor.</x:t>
        </x:is>
      </x:c>
    </x:row>
    <x:row r="6">
      <x:c r="A6" s="63" t="inlineStr">
        <x:is>
          <x:t xml:space="preserve">Prompt security</x:t>
        </x:is>
      </x:c>
      <x:c r="B6" s="64" t="inlineStr">
        <x:is>
          <x:t xml:space="preserve">An authentication event may fail if the unseen element circulates through the cohort.</x:t>
        </x:is>
      </x:c>
      <x:c r="C6" s="65" t="inlineStr">
        <x:is>
          <x:t xml:space="preserve">Use the Prompt Bank and Exposure Log and include exposure monitoring in capacity planning.</x:t>
        </x:is>
      </x:c>
    </x:row>
    <x:row r="7">
      <x:c r="A7" s="63" t="inlineStr">
        <x:is>
          <x:t xml:space="preserve">Individual certification</x:t>
        </x:is>
      </x:c>
      <x:c r="B7" s="64" t="inlineStr">
        <x:is>
          <x:t xml:space="preserve">Moderation sampling cannot replace minimum evidence for the individual claim.</x:t>
        </x:is>
      </x:c>
      <x:c r="C7" s="65" t="inlineStr">
        <x:is>
          <x:t xml:space="preserve">Every student completes the declared minimum authentication when the claim depends on it.</x:t>
        </x:is>
      </x:c>
    </x:row>
    <x:row r="8">
      <x:c r="A8" s="63" t="inlineStr">
        <x:is>
          <x:t xml:space="preserve">Student burden</x:t>
        </x:is>
      </x:c>
      <x:c r="B8" s="64" t="inlineStr">
        <x:is>
          <x:t xml:space="preserve">Preparation, waiting, travel/setup, rescheduling, appeal, and anxiety are not captured by staff-hours.</x:t>
        </x:is>
      </x:c>
      <x:c r="C8" s="65" t="inlineStr">
        <x:is>
          <x:t xml:space="preserve">Measure student burden directly in pilots.</x:t>
        </x:is>
      </x:c>
    </x:row>
    <x:row r="9">
      <x:c r="A9" s="66" t="inlineStr">
        <x:is>
          <x:t xml:space="preserve">Comparator</x:t>
        </x:is>
      </x:c>
      <x:c r="B9" s="67" t="inlineStr">
        <x:is>
          <x:t xml:space="preserve">The correct decision is assurance gain and decision utility relative to feasible alternatives; concurrent invigilation is calculated by sittings, duration, and invigilators, not by students.</x:t>
        </x:is>
      </x:c>
      <x:c r="C9" s="68" t="inlineStr">
        <x:is>
          <x:t xml:space="preserve">Configure the number of sittings and compare reliability, construct coverage, equity, privacy, burden, and appeals - not only cost.</x:t>
        </x:is>
      </x:c>
    </x:row>
  </x:sheetData>
  <x:mergeCells>
    <x:mergeCell ref="A1:C1"/>
  </x:mergeCells>
  <x:pageMargins left="0.7" right="0.7" top="0.75" bottom="0.75" header="0.3" footer="0.3"/>
</x:worksheet>
</file>